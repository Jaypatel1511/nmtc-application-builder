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Pipeline Detail" sheetId="2" state="visible" r:id="rId2"/>
    <sheet xmlns:r="http://schemas.openxmlformats.org/officeDocument/2006/relationships" name="Distress Documentation" sheetId="3" state="visible" r:id="rId3"/>
    <sheet xmlns:r="http://schemas.openxmlformats.org/officeDocument/2006/relationships" name="Geographic Targeting" sheetId="4" state="visible" r:id="rId4"/>
    <sheet xmlns:r="http://schemas.openxmlformats.org/officeDocument/2006/relationships" name="Impact Projections" sheetId="5" state="visible" r:id="rId5"/>
    <sheet xmlns:r="http://schemas.openxmlformats.org/officeDocument/2006/relationships" name="Investor Commitments" sheetId="6" state="visible" r:id="rId6"/>
    <sheet xmlns:r="http://schemas.openxmlformats.org/officeDocument/2006/relationships" name="Track Record" sheetId="7" state="visible" r:id="rId7"/>
  </sheets>
  <definedNames>
    <definedName name="_xlnm._FilterDatabase" localSheetId="1" hidden="1">'Pipeline Detail'!$A$3:$AG$24</definedName>
    <definedName name="_xlnm._FilterDatabase" localSheetId="2" hidden="1">'Distress Documentation'!$A$3:$O$24</definedName>
    <definedName name="_xlnm._FilterDatabase" localSheetId="3" hidden="1">'Geographic Targeting'!$A$3:$H$24</definedName>
    <definedName name="_xlnm._FilterDatabase" localSheetId="4" hidden="1">'Impact Projections'!$A$3:$R$24</definedName>
    <definedName name="_xlnm._FilterDatabase" localSheetId="5" hidden="1">'Investor Commitments'!$A$3:$H$6</definedName>
    <definedName name="_xlnm._FilterDatabase" localSheetId="6" hidden="1">'Track Record'!$A$3:$F$7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1B438C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0"/>
    </font>
    <font>
      <name val="Calibri"/>
      <b val="1"/>
      <color rgb="002D7D46"/>
      <sz val="10"/>
    </font>
    <font>
      <name val="Calibri"/>
      <b val="1"/>
      <color rgb="00C0392B"/>
      <sz val="10"/>
    </font>
    <font>
      <name val="Calibri"/>
      <b val="1"/>
      <color rgb="001A1A1A"/>
      <sz val="11"/>
    </font>
    <font>
      <name val="Calibri"/>
      <i val="1"/>
      <color rgb="006B6B6B"/>
      <sz val="8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B438C"/>
        <bgColor rgb="001B438C"/>
      </patternFill>
    </fill>
    <fill>
      <patternFill patternType="solid">
        <fgColor rgb="002E6DA4"/>
        <bgColor rgb="002E6DA4"/>
      </patternFill>
    </fill>
    <fill>
      <patternFill patternType="solid">
        <fgColor rgb="00F0A500"/>
        <bgColor rgb="00F0A500"/>
      </patternFill>
    </fill>
    <fill>
      <patternFill patternType="solid">
        <fgColor rgb="00EBF0FA"/>
        <bgColor rgb="00EBF0FA"/>
      </patternFill>
    </fill>
    <fill>
      <patternFill patternType="solid">
        <fgColor rgb="00FFFFFF"/>
        <bgColor rgb="00FFFFFF"/>
      </patternFill>
    </fill>
    <fill>
      <patternFill patternType="solid">
        <fgColor rgb="00D6E4F5"/>
        <bgColor rgb="00D6E4F5"/>
      </patternFill>
    </fill>
    <fill>
      <patternFill patternType="solid">
        <fgColor rgb="00F5F7FA"/>
        <bgColor rgb="00F5F7FA"/>
      </patternFill>
    </fill>
  </fills>
  <borders count="5">
    <border>
      <left/>
      <right/>
      <top/>
      <bottom/>
      <diagonal/>
    </border>
    <border>
      <left style="thin">
        <color rgb="00BDC6D8"/>
      </left>
      <right style="thin">
        <color rgb="00BDC6D8"/>
      </right>
      <top style="thin">
        <color rgb="00BDC6D8"/>
      </top>
      <bottom style="thin">
        <color rgb="00BDC6D8"/>
      </bottom>
    </border>
    <border>
      <left/>
      <right/>
      <top style="thin">
        <color rgb="00BDC6D8"/>
      </top>
      <bottom/>
      <diagonal/>
    </border>
    <border>
      <left/>
      <right style="thin">
        <color rgb="00BDC6D8"/>
      </right>
      <top style="thin">
        <color rgb="00BDC6D8"/>
      </top>
      <bottom/>
      <diagonal/>
    </border>
    <border>
      <left/>
      <right style="thin">
        <color rgb="00BDC6D8"/>
      </right>
      <top style="thin">
        <color rgb="00BDC6D8"/>
      </top>
      <bottom style="thin">
        <color rgb="00BDC6D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2" fontId="6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8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left" vertical="center" wrapText="1"/>
    </xf>
    <xf numFmtId="166" fontId="10" fillId="7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D6F0DF"/>
          <bgColor rgb="00D6F0DF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Readiness Score Components</a:t>
            </a:r>
          </a:p>
        </rich>
      </tx>
    </title>
    <plotArea>
      <barChart>
        <barDir val="bar"/>
        <grouping val="clustered"/>
        <ser>
          <idx val="0"/>
          <order val="0"/>
          <tx>
            <v>Score</v>
          </tx>
          <spPr>
            <a:ln xmlns:a="http://schemas.openxmlformats.org/drawingml/2006/main">
              <a:prstDash val="solid"/>
            </a:ln>
          </spPr>
          <cat>
            <numRef>
              <f>'Summary Dashboard'!$A$18:$A$23</f>
            </numRef>
          </cat>
          <val>
            <numRef>
              <f>'Summary Dashboard'!$C$18:$C$23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NEW MARKETS TAX CREDIT ALLOCATION APPLICATION</t>
        </is>
      </c>
    </row>
    <row r="2" ht="22" customHeight="1">
      <c r="A2" s="2" t="inlineStr">
        <is>
          <t>Heartland Impact CDE, LLC</t>
        </is>
      </c>
    </row>
    <row r="3" ht="16" customHeight="1">
      <c r="A3" s="3" t="inlineStr">
        <is>
          <t>CY2025  |  Prepared: May 09, 2026  |  Readiness Grade: A (86.6/100)</t>
        </is>
      </c>
    </row>
    <row r="5">
      <c r="A5" s="4" t="inlineStr">
        <is>
          <t>KEY APPLICATION METRICS</t>
        </is>
      </c>
    </row>
    <row r="6" ht="18" customHeight="1">
      <c r="A6" s="5" t="inlineStr">
        <is>
          <t>Total NMTC Allocation Requested</t>
        </is>
      </c>
      <c r="C6" s="6" t="n">
        <v>65000000</v>
      </c>
    </row>
    <row r="7" ht="18" customHeight="1">
      <c r="A7" s="7" t="inlineStr">
        <is>
          <t>Total QEI in Pipeline</t>
        </is>
      </c>
      <c r="C7" s="8" t="n">
        <v>122500000</v>
      </c>
    </row>
    <row r="8" ht="18" customHeight="1">
      <c r="A8" s="5" t="inlineStr">
        <is>
          <t>Total Project Cost</t>
        </is>
      </c>
      <c r="C8" s="6" t="n">
        <v>170600000</v>
      </c>
    </row>
    <row r="9" ht="18" customHeight="1">
      <c r="A9" s="7" t="inlineStr">
        <is>
          <t>Number of Projects</t>
        </is>
      </c>
      <c r="C9" s="9" t="n">
        <v>20</v>
      </c>
    </row>
    <row r="10" ht="18" customHeight="1">
      <c r="A10" s="5" t="inlineStr">
        <is>
          <t>States Represented</t>
        </is>
      </c>
      <c r="C10" s="10" t="n">
        <v>20</v>
      </c>
    </row>
    <row r="11" ht="18" customHeight="1">
      <c r="A11" s="7" t="inlineStr">
        <is>
          <t>NMTC Eligibility Rate</t>
        </is>
      </c>
      <c r="C11" s="11" t="n">
        <v>1</v>
      </c>
    </row>
    <row r="12" ht="18" customHeight="1">
      <c r="A12" s="5" t="inlineStr">
        <is>
          <t>Deep/Severe Distress Concentration</t>
        </is>
      </c>
      <c r="C12" s="12" t="n">
        <v>0.866938775510204</v>
      </c>
    </row>
    <row r="13" ht="18" customHeight="1">
      <c r="A13" s="7" t="inlineStr">
        <is>
          <t>Total Jobs to Be Created</t>
        </is>
      </c>
      <c r="C13" s="9" t="n">
        <v>864</v>
      </c>
    </row>
    <row r="14" ht="18" customHeight="1">
      <c r="A14" s="5" t="inlineStr">
        <is>
          <t>Jobs per $1MM QEI</t>
        </is>
      </c>
      <c r="C14" s="13" t="n">
        <v>7.05</v>
      </c>
    </row>
    <row r="16">
      <c r="A16" s="4" t="inlineStr">
        <is>
          <t>READINESS SCORE BREAKDOWN</t>
        </is>
      </c>
    </row>
    <row r="17" ht="18" customHeight="1">
      <c r="A17" s="14" t="inlineStr">
        <is>
          <t>Component</t>
        </is>
      </c>
      <c r="B17" s="15" t="n"/>
      <c r="C17" s="14" t="inlineStr">
        <is>
          <t>Score</t>
        </is>
      </c>
      <c r="D17" s="14" t="inlineStr">
        <is>
          <t>Weight</t>
        </is>
      </c>
    </row>
    <row r="18" ht="17" customHeight="1">
      <c r="A18" s="5" t="inlineStr">
        <is>
          <t>Eligibility Quality</t>
        </is>
      </c>
      <c r="C18" s="16" t="n">
        <v>100</v>
      </c>
      <c r="D18" s="17" t="n">
        <v>0</v>
      </c>
    </row>
    <row r="19" ht="17" customHeight="1">
      <c r="A19" s="7" t="inlineStr">
        <is>
          <t>Distress Concentration</t>
        </is>
      </c>
      <c r="C19" s="18" t="n">
        <v>100</v>
      </c>
      <c r="D19" s="19" t="n">
        <v>0.25</v>
      </c>
    </row>
    <row r="20" ht="17" customHeight="1">
      <c r="A20" s="5" t="inlineStr">
        <is>
          <t>Geographic Diversity</t>
        </is>
      </c>
      <c r="C20" s="16" t="n">
        <v>100</v>
      </c>
      <c r="D20" s="17" t="n">
        <v>0.15</v>
      </c>
    </row>
    <row r="21" ht="17" customHeight="1">
      <c r="A21" s="7" t="inlineStr">
        <is>
          <t>Impact Metrics</t>
        </is>
      </c>
      <c r="C21" s="20" t="n">
        <v>38.2</v>
      </c>
      <c r="D21" s="19" t="n">
        <v>0.2</v>
      </c>
    </row>
    <row r="22" ht="17" customHeight="1">
      <c r="A22" s="5" t="inlineStr">
        <is>
          <t>Validation Pass Rate</t>
        </is>
      </c>
      <c r="C22" s="16" t="n">
        <v>100</v>
      </c>
      <c r="D22" s="17" t="n">
        <v>0</v>
      </c>
    </row>
    <row r="23" ht="17" customHeight="1">
      <c r="A23" s="7" t="inlineStr">
        <is>
          <t>Completeness</t>
        </is>
      </c>
      <c r="C23" s="18" t="n">
        <v>80</v>
      </c>
      <c r="D23" s="19" t="n">
        <v>0.05</v>
      </c>
    </row>
    <row r="24" ht="20" customHeight="1">
      <c r="A24" s="21" t="inlineStr">
        <is>
          <t>OVERALL SCORE</t>
        </is>
      </c>
      <c r="C24" s="22" t="n">
        <v>86.59999999999999</v>
      </c>
      <c r="D24" s="23" t="inlineStr">
        <is>
          <t>Grade A</t>
        </is>
      </c>
    </row>
    <row r="26">
      <c r="A26" s="24" t="inlineStr">
        <is>
          <t>CONFIDENTIAL — Heartland Impact CDE, LLC — NMTC CY2025 — Generated 2026-05-09</t>
        </is>
      </c>
    </row>
  </sheetData>
  <mergeCells count="32">
    <mergeCell ref="A1:F1"/>
    <mergeCell ref="A2:F2"/>
    <mergeCell ref="A3:F3"/>
    <mergeCell ref="A5:F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6:F16"/>
    <mergeCell ref="A17:B17"/>
    <mergeCell ref="A18:B18"/>
    <mergeCell ref="A19:B19"/>
    <mergeCell ref="A20:B20"/>
    <mergeCell ref="A21:B21"/>
    <mergeCell ref="A22:B22"/>
    <mergeCell ref="A23:B23"/>
    <mergeCell ref="A24:B24"/>
    <mergeCell ref="A26:F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5" customWidth="1" min="2" max="2"/>
    <col width="40" customWidth="1" min="3" max="3"/>
    <col width="32" customWidth="1" min="4" max="4"/>
    <col width="15" customWidth="1" min="5" max="5"/>
    <col width="8" customWidth="1" min="6" max="6"/>
    <col width="11" customWidth="1" min="7" max="7"/>
    <col width="26" customWidth="1" min="8" max="8"/>
    <col width="22" customWidth="1" min="9" max="9"/>
    <col width="23" customWidth="1" min="10" max="10"/>
    <col width="25" customWidth="1" min="11" max="11"/>
    <col width="29" customWidth="1" min="12" max="12"/>
    <col width="25" customWidth="1" min="13" max="13"/>
    <col width="40" customWidth="1" min="14" max="14"/>
    <col width="21" customWidth="1" min="15" max="15"/>
    <col width="25" customWidth="1" min="16" max="16"/>
    <col width="18" customWidth="1" min="17" max="17"/>
    <col width="19" customWidth="1" min="18" max="18"/>
    <col width="19" customWidth="1" min="19" max="19"/>
    <col width="20" customWidth="1" min="20" max="20"/>
    <col width="18" customWidth="1" min="21" max="21"/>
    <col width="32" customWidth="1" min="22" max="22"/>
    <col width="14" customWidth="1" min="23" max="23"/>
    <col width="18" customWidth="1" min="24" max="24"/>
    <col width="23" customWidth="1" min="25" max="25"/>
    <col width="30" customWidth="1" min="26" max="26"/>
    <col width="21" customWidth="1" min="27" max="27"/>
    <col width="19" customWidth="1" min="28" max="28"/>
    <col width="22" customWidth="1" min="29" max="29"/>
    <col width="15" customWidth="1" min="30" max="30"/>
    <col width="16" customWidth="1" min="31" max="31"/>
    <col width="25" customWidth="1" min="32" max="32"/>
    <col width="14" customWidth="1" min="33" max="33"/>
  </cols>
  <sheetData>
    <row r="1" ht="24" customHeight="1">
      <c r="A1" s="25" t="inlineStr">
        <is>
          <t>Appendix A: Pipeline Detail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Project ID</t>
        </is>
      </c>
      <c r="B3" s="14" t="inlineStr">
        <is>
          <t>QALICB Name</t>
        </is>
      </c>
      <c r="C3" s="14" t="inlineStr">
        <is>
          <t>Project Name</t>
        </is>
      </c>
      <c r="D3" s="14" t="inlineStr">
        <is>
          <t>Street Address</t>
        </is>
      </c>
      <c r="E3" s="14" t="inlineStr">
        <is>
          <t>City</t>
        </is>
      </c>
      <c r="F3" s="14" t="inlineStr">
        <is>
          <t>State</t>
        </is>
      </c>
      <c r="G3" s="14" t="inlineStr">
        <is>
          <t>ZIP Code</t>
        </is>
      </c>
      <c r="H3" s="14" t="inlineStr">
        <is>
          <t>Census Tract (11-digit)</t>
        </is>
      </c>
      <c r="I3" s="14" t="inlineStr">
        <is>
          <t>NMTC Eligible (Y/N)</t>
        </is>
      </c>
      <c r="J3" s="14" t="inlineStr">
        <is>
          <t>Distress Level</t>
        </is>
      </c>
      <c r="K3" s="14" t="inlineStr">
        <is>
          <t>NMTC Native Area (Y/N)</t>
        </is>
      </c>
      <c r="L3" s="14" t="inlineStr">
        <is>
          <t>High Migration Rural (Y/N)</t>
        </is>
      </c>
      <c r="M3" s="14" t="inlineStr">
        <is>
          <t>Opportunity Zone (Y/N)</t>
        </is>
      </c>
      <c r="N3" s="14" t="inlineStr">
        <is>
          <t>Sector (NAICS)</t>
        </is>
      </c>
      <c r="O3" s="14" t="inlineStr">
        <is>
          <t>Project Type</t>
        </is>
      </c>
      <c r="P3" s="14" t="inlineStr">
        <is>
          <t>Total Project Cost ($)</t>
        </is>
      </c>
      <c r="Q3" s="14" t="inlineStr">
        <is>
          <t>QEI Request ($)</t>
        </is>
      </c>
      <c r="R3" s="14" t="inlineStr">
        <is>
          <t>QLICI A Loan ($)</t>
        </is>
      </c>
      <c r="S3" s="14" t="inlineStr">
        <is>
          <t>QLICI B Loan ($)</t>
        </is>
      </c>
      <c r="T3" s="14" t="inlineStr">
        <is>
          <t>Leverage Loan ($)</t>
        </is>
      </c>
      <c r="U3" s="14" t="inlineStr">
        <is>
          <t>Total NMTCs ($)</t>
        </is>
      </c>
      <c r="V3" s="14" t="inlineStr">
        <is>
          <t>Estimated Investor Equity ($)</t>
        </is>
      </c>
      <c r="W3" s="14" t="inlineStr">
        <is>
          <t>CDE Fee ($)</t>
        </is>
      </c>
      <c r="X3" s="14" t="inlineStr">
        <is>
          <t>Senior Debt ($)</t>
        </is>
      </c>
      <c r="Y3" s="14" t="inlineStr">
        <is>
          <t>Subordinate Debt ($)</t>
        </is>
      </c>
      <c r="Z3" s="14" t="inlineStr">
        <is>
          <t>Annual Operating Budget ($)</t>
        </is>
      </c>
      <c r="AA3" s="14" t="inlineStr">
        <is>
          <t>Construction Start</t>
        </is>
      </c>
      <c r="AB3" s="14" t="inlineStr">
        <is>
          <t>Operations Start</t>
        </is>
      </c>
      <c r="AC3" s="14" t="inlineStr">
        <is>
          <t>Closing Target Date</t>
        </is>
      </c>
      <c r="AD3" s="14" t="inlineStr">
        <is>
          <t>Jobs Created</t>
        </is>
      </c>
      <c r="AE3" s="14" t="inlineStr">
        <is>
          <t>Jobs Retained</t>
        </is>
      </c>
      <c r="AF3" s="14" t="inlineStr">
        <is>
          <t>Affordable Units Built</t>
        </is>
      </c>
      <c r="AG3" s="14" t="inlineStr">
        <is>
          <t>Square Feet</t>
        </is>
      </c>
    </row>
    <row r="4" ht="16" customHeight="1">
      <c r="A4" s="5" t="inlineStr">
        <is>
          <t>PRJ-001</t>
        </is>
      </c>
      <c r="B4" s="5" t="inlineStr">
        <is>
          <t>Southside HC QALICB LLC</t>
        </is>
      </c>
      <c r="C4" s="5" t="inlineStr">
        <is>
          <t>Southside Community Health Center</t>
        </is>
      </c>
      <c r="D4" s="5" t="inlineStr">
        <is>
          <t>3400 S Michigan Ave</t>
        </is>
      </c>
      <c r="E4" s="5" t="inlineStr">
        <is>
          <t>Chicago</t>
        </is>
      </c>
      <c r="F4" s="5" t="inlineStr">
        <is>
          <t>IL</t>
        </is>
      </c>
      <c r="G4" s="5" t="inlineStr"/>
      <c r="H4" s="5" t="inlineStr">
        <is>
          <t>17031838200</t>
        </is>
      </c>
      <c r="I4" s="5" t="inlineStr">
        <is>
          <t>Y</t>
        </is>
      </c>
      <c r="J4" s="5" t="inlineStr">
        <is>
          <t>Deep Distress</t>
        </is>
      </c>
      <c r="K4" s="5" t="inlineStr">
        <is>
          <t>N</t>
        </is>
      </c>
      <c r="L4" s="5" t="inlineStr">
        <is>
          <t>N</t>
        </is>
      </c>
      <c r="M4" s="5" t="inlineStr">
        <is>
          <t>N</t>
        </is>
      </c>
      <c r="N4" s="5" t="inlineStr">
        <is>
          <t>621 – Ambulatory Health Care Services</t>
        </is>
      </c>
      <c r="O4" s="5" t="inlineStr">
        <is>
          <t>Real Estate</t>
        </is>
      </c>
      <c r="P4" s="27" t="n">
        <v>12500000</v>
      </c>
      <c r="Q4" s="28" t="n">
        <v>8500000</v>
      </c>
      <c r="R4" s="28" t="n">
        <v>1700000</v>
      </c>
      <c r="S4" s="28" t="n">
        <v>6800000</v>
      </c>
      <c r="T4" s="28" t="n">
        <v>6800000</v>
      </c>
      <c r="U4" s="28" t="n">
        <v>3315000</v>
      </c>
      <c r="V4" s="28" t="n">
        <v>2751450</v>
      </c>
      <c r="W4" s="28" t="n">
        <v>212500</v>
      </c>
      <c r="X4" s="28" t="n">
        <v>8048550</v>
      </c>
      <c r="Y4" s="27" t="n">
        <v>0</v>
      </c>
      <c r="Z4" s="28" t="n">
        <v>1000000</v>
      </c>
      <c r="AA4" s="5" t="inlineStr"/>
      <c r="AB4" s="5" t="inlineStr"/>
      <c r="AC4" s="5" t="inlineStr">
        <is>
          <t>2025-09-30</t>
        </is>
      </c>
      <c r="AD4" s="27" t="n">
        <v>52</v>
      </c>
      <c r="AE4" s="27" t="n">
        <v>18</v>
      </c>
      <c r="AF4" s="27" t="n">
        <v>0</v>
      </c>
      <c r="AG4" s="27" t="n">
        <v>24000</v>
      </c>
    </row>
    <row r="5" ht="16" customHeight="1">
      <c r="A5" s="7" t="inlineStr">
        <is>
          <t>PRJ-002</t>
        </is>
      </c>
      <c r="B5" s="7" t="inlineStr">
        <is>
          <t>East Houston Academy QALICB LLC</t>
        </is>
      </c>
      <c r="C5" s="7" t="inlineStr">
        <is>
          <t>East Houston Charter Academy</t>
        </is>
      </c>
      <c r="D5" s="7" t="inlineStr">
        <is>
          <t>5200 Lawndale St</t>
        </is>
      </c>
      <c r="E5" s="7" t="inlineStr">
        <is>
          <t>Houston</t>
        </is>
      </c>
      <c r="F5" s="7" t="inlineStr">
        <is>
          <t>TX</t>
        </is>
      </c>
      <c r="G5" s="7" t="inlineStr"/>
      <c r="H5" s="7" t="inlineStr">
        <is>
          <t>48201223400</t>
        </is>
      </c>
      <c r="I5" s="7" t="inlineStr">
        <is>
          <t>Y</t>
        </is>
      </c>
      <c r="J5" s="7" t="inlineStr">
        <is>
          <t>Deep Distress</t>
        </is>
      </c>
      <c r="K5" s="7" t="inlineStr">
        <is>
          <t>N</t>
        </is>
      </c>
      <c r="L5" s="7" t="inlineStr">
        <is>
          <t>N</t>
        </is>
      </c>
      <c r="M5" s="7" t="inlineStr">
        <is>
          <t>Y</t>
        </is>
      </c>
      <c r="N5" s="7" t="inlineStr">
        <is>
          <t>611 – Educational Services</t>
        </is>
      </c>
      <c r="O5" s="7" t="inlineStr">
        <is>
          <t>Real Estate</t>
        </is>
      </c>
      <c r="P5" s="29" t="n">
        <v>9800000</v>
      </c>
      <c r="Q5" s="30" t="n">
        <v>7000000</v>
      </c>
      <c r="R5" s="30" t="n">
        <v>1400000</v>
      </c>
      <c r="S5" s="30" t="n">
        <v>5600000</v>
      </c>
      <c r="T5" s="30" t="n">
        <v>5600000</v>
      </c>
      <c r="U5" s="30" t="n">
        <v>2730000</v>
      </c>
      <c r="V5" s="30" t="n">
        <v>2265900</v>
      </c>
      <c r="W5" s="30" t="n">
        <v>175000</v>
      </c>
      <c r="X5" s="30" t="n">
        <v>6134100</v>
      </c>
      <c r="Y5" s="29" t="n">
        <v>0</v>
      </c>
      <c r="Z5" s="30" t="n">
        <v>784000</v>
      </c>
      <c r="AA5" s="7" t="inlineStr"/>
      <c r="AB5" s="7" t="inlineStr"/>
      <c r="AC5" s="7" t="inlineStr">
        <is>
          <t>2025-12-15</t>
        </is>
      </c>
      <c r="AD5" s="29" t="n">
        <v>38</v>
      </c>
      <c r="AE5" s="29" t="n">
        <v>22</v>
      </c>
      <c r="AF5" s="29" t="n">
        <v>0</v>
      </c>
      <c r="AG5" s="29" t="n">
        <v>0</v>
      </c>
    </row>
    <row r="6" ht="16" customHeight="1">
      <c r="A6" s="5" t="inlineStr">
        <is>
          <t>PRJ-003</t>
        </is>
      </c>
      <c r="B6" s="5" t="inlineStr">
        <is>
          <t>Bronx Food Hub QALICB LLC</t>
        </is>
      </c>
      <c r="C6" s="5" t="inlineStr">
        <is>
          <t>Bronx Food Hub</t>
        </is>
      </c>
      <c r="D6" s="5" t="inlineStr">
        <is>
          <t>800 Hunts Point Ave</t>
        </is>
      </c>
      <c r="E6" s="5" t="inlineStr">
        <is>
          <t>Bronx</t>
        </is>
      </c>
      <c r="F6" s="5" t="inlineStr">
        <is>
          <t>NY</t>
        </is>
      </c>
      <c r="G6" s="5" t="inlineStr"/>
      <c r="H6" s="5" t="inlineStr">
        <is>
          <t>36005035900</t>
        </is>
      </c>
      <c r="I6" s="5" t="inlineStr">
        <is>
          <t>Y</t>
        </is>
      </c>
      <c r="J6" s="5" t="inlineStr">
        <is>
          <t>Severely Distressed</t>
        </is>
      </c>
      <c r="K6" s="5" t="inlineStr">
        <is>
          <t>N</t>
        </is>
      </c>
      <c r="L6" s="5" t="inlineStr">
        <is>
          <t>N</t>
        </is>
      </c>
      <c r="M6" s="5" t="inlineStr">
        <is>
          <t>Y</t>
        </is>
      </c>
      <c r="N6" s="5" t="inlineStr">
        <is>
          <t>722/336 – Food Services / Manufacturing</t>
        </is>
      </c>
      <c r="O6" s="5" t="inlineStr">
        <is>
          <t>Real Estate</t>
        </is>
      </c>
      <c r="P6" s="27" t="n">
        <v>7200000</v>
      </c>
      <c r="Q6" s="28" t="n">
        <v>5000000</v>
      </c>
      <c r="R6" s="28" t="n">
        <v>1000000</v>
      </c>
      <c r="S6" s="28" t="n">
        <v>4000000</v>
      </c>
      <c r="T6" s="28" t="n">
        <v>4000000</v>
      </c>
      <c r="U6" s="28" t="n">
        <v>1950000</v>
      </c>
      <c r="V6" s="28" t="n">
        <v>1618500</v>
      </c>
      <c r="W6" s="28" t="n">
        <v>125000</v>
      </c>
      <c r="X6" s="28" t="n">
        <v>4581500</v>
      </c>
      <c r="Y6" s="27" t="n">
        <v>0</v>
      </c>
      <c r="Z6" s="28" t="n">
        <v>576000</v>
      </c>
      <c r="AA6" s="5" t="inlineStr"/>
      <c r="AB6" s="5" t="inlineStr"/>
      <c r="AC6" s="5" t="inlineStr">
        <is>
          <t>2025-08-31</t>
        </is>
      </c>
      <c r="AD6" s="27" t="n">
        <v>65</v>
      </c>
      <c r="AE6" s="27" t="n">
        <v>8</v>
      </c>
      <c r="AF6" s="27" t="n">
        <v>0</v>
      </c>
      <c r="AG6" s="27" t="n">
        <v>18000</v>
      </c>
    </row>
    <row r="7" ht="16" customHeight="1">
      <c r="A7" s="7" t="inlineStr">
        <is>
          <t>PRJ-004</t>
        </is>
      </c>
      <c r="B7" s="7" t="inlineStr">
        <is>
          <t>Watts MFG QALICB LLC</t>
        </is>
      </c>
      <c r="C7" s="7" t="inlineStr">
        <is>
          <t>Watts Manufacturing Center</t>
        </is>
      </c>
      <c r="D7" s="7" t="inlineStr">
        <is>
          <t>9500 S Grape St</t>
        </is>
      </c>
      <c r="E7" s="7" t="inlineStr">
        <is>
          <t>Los Angeles</t>
        </is>
      </c>
      <c r="F7" s="7" t="inlineStr">
        <is>
          <t>CA</t>
        </is>
      </c>
      <c r="G7" s="7" t="inlineStr"/>
      <c r="H7" s="7" t="inlineStr">
        <is>
          <t>06037606200</t>
        </is>
      </c>
      <c r="I7" s="7" t="inlineStr">
        <is>
          <t>Y</t>
        </is>
      </c>
      <c r="J7" s="7" t="inlineStr">
        <is>
          <t>Deep Distress</t>
        </is>
      </c>
      <c r="K7" s="7" t="inlineStr">
        <is>
          <t>N</t>
        </is>
      </c>
      <c r="L7" s="7" t="inlineStr">
        <is>
          <t>N</t>
        </is>
      </c>
      <c r="M7" s="7" t="inlineStr">
        <is>
          <t>N</t>
        </is>
      </c>
      <c r="N7" s="7" t="inlineStr">
        <is>
          <t>722/336 – Food Services / Manufacturing</t>
        </is>
      </c>
      <c r="O7" s="7" t="inlineStr">
        <is>
          <t>Operating Business</t>
        </is>
      </c>
      <c r="P7" s="29" t="n">
        <v>6000000</v>
      </c>
      <c r="Q7" s="30" t="n">
        <v>4500000</v>
      </c>
      <c r="R7" s="30" t="n">
        <v>900000</v>
      </c>
      <c r="S7" s="30" t="n">
        <v>3600000</v>
      </c>
      <c r="T7" s="30" t="n">
        <v>3600000</v>
      </c>
      <c r="U7" s="30" t="n">
        <v>1755000</v>
      </c>
      <c r="V7" s="30" t="n">
        <v>1456650</v>
      </c>
      <c r="W7" s="30" t="n">
        <v>112500</v>
      </c>
      <c r="X7" s="30" t="n">
        <v>3643350</v>
      </c>
      <c r="Y7" s="29" t="n">
        <v>0</v>
      </c>
      <c r="Z7" s="30" t="n">
        <v>480000</v>
      </c>
      <c r="AA7" s="7" t="inlineStr"/>
      <c r="AB7" s="7" t="inlineStr"/>
      <c r="AC7" s="7" t="inlineStr">
        <is>
          <t>2025-11-30</t>
        </is>
      </c>
      <c r="AD7" s="29" t="n">
        <v>80</v>
      </c>
      <c r="AE7" s="29" t="n">
        <v>25</v>
      </c>
      <c r="AF7" s="29" t="n">
        <v>0</v>
      </c>
      <c r="AG7" s="29" t="n">
        <v>0</v>
      </c>
    </row>
    <row r="8" ht="16" customHeight="1">
      <c r="A8" s="5" t="inlineStr">
        <is>
          <t>PRJ-005</t>
        </is>
      </c>
      <c r="B8" s="5" t="inlineStr">
        <is>
          <t>Cleveland Clinic QALICB LLC</t>
        </is>
      </c>
      <c r="C8" s="5" t="inlineStr">
        <is>
          <t>Cleveland Neighborhood Clinic</t>
        </is>
      </c>
      <c r="D8" s="5" t="inlineStr">
        <is>
          <t>2100 Euclid Ave</t>
        </is>
      </c>
      <c r="E8" s="5" t="inlineStr">
        <is>
          <t>Cleveland</t>
        </is>
      </c>
      <c r="F8" s="5" t="inlineStr">
        <is>
          <t>OH</t>
        </is>
      </c>
      <c r="G8" s="5" t="inlineStr"/>
      <c r="H8" s="5" t="inlineStr">
        <is>
          <t>39035103200</t>
        </is>
      </c>
      <c r="I8" s="5" t="inlineStr">
        <is>
          <t>Y</t>
        </is>
      </c>
      <c r="J8" s="5" t="inlineStr">
        <is>
          <t>Deep Distress</t>
        </is>
      </c>
      <c r="K8" s="5" t="inlineStr">
        <is>
          <t>N</t>
        </is>
      </c>
      <c r="L8" s="5" t="inlineStr">
        <is>
          <t>N</t>
        </is>
      </c>
      <c r="M8" s="5" t="inlineStr">
        <is>
          <t>N</t>
        </is>
      </c>
      <c r="N8" s="5" t="inlineStr">
        <is>
          <t>621 – Ambulatory Health Care Services</t>
        </is>
      </c>
      <c r="O8" s="5" t="inlineStr">
        <is>
          <t>Real Estate</t>
        </is>
      </c>
      <c r="P8" s="27" t="n">
        <v>10000000</v>
      </c>
      <c r="Q8" s="28" t="n">
        <v>7500000</v>
      </c>
      <c r="R8" s="28" t="n">
        <v>1500000</v>
      </c>
      <c r="S8" s="28" t="n">
        <v>6000000</v>
      </c>
      <c r="T8" s="28" t="n">
        <v>6000000</v>
      </c>
      <c r="U8" s="28" t="n">
        <v>2925000</v>
      </c>
      <c r="V8" s="28" t="n">
        <v>2427750</v>
      </c>
      <c r="W8" s="28" t="n">
        <v>187500</v>
      </c>
      <c r="X8" s="28" t="n">
        <v>6072250</v>
      </c>
      <c r="Y8" s="27" t="n">
        <v>0</v>
      </c>
      <c r="Z8" s="28" t="n">
        <v>800000</v>
      </c>
      <c r="AA8" s="5" t="inlineStr"/>
      <c r="AB8" s="5" t="inlineStr"/>
      <c r="AC8" s="5" t="inlineStr">
        <is>
          <t>2026-01-31</t>
        </is>
      </c>
      <c r="AD8" s="27" t="n">
        <v>42</v>
      </c>
      <c r="AE8" s="27" t="n">
        <v>30</v>
      </c>
      <c r="AF8" s="27" t="n">
        <v>0</v>
      </c>
      <c r="AG8" s="27" t="n">
        <v>20000</v>
      </c>
    </row>
    <row r="9" ht="16" customHeight="1">
      <c r="A9" s="7" t="inlineStr">
        <is>
          <t>PRJ-006</t>
        </is>
      </c>
      <c r="B9" s="7" t="inlineStr">
        <is>
          <t>Atlanta AH QALICB LLC</t>
        </is>
      </c>
      <c r="C9" s="7" t="inlineStr">
        <is>
          <t>Atlanta Affordable Homes Phase II</t>
        </is>
      </c>
      <c r="D9" s="7" t="inlineStr">
        <is>
          <t>640 McDaniel St SW</t>
        </is>
      </c>
      <c r="E9" s="7" t="inlineStr">
        <is>
          <t>Atlanta</t>
        </is>
      </c>
      <c r="F9" s="7" t="inlineStr">
        <is>
          <t>GA</t>
        </is>
      </c>
      <c r="G9" s="7" t="inlineStr"/>
      <c r="H9" s="7" t="inlineStr">
        <is>
          <t>13121008700</t>
        </is>
      </c>
      <c r="I9" s="7" t="inlineStr">
        <is>
          <t>Y</t>
        </is>
      </c>
      <c r="J9" s="7" t="inlineStr">
        <is>
          <t>Severely Distressed</t>
        </is>
      </c>
      <c r="K9" s="7" t="inlineStr">
        <is>
          <t>N</t>
        </is>
      </c>
      <c r="L9" s="7" t="inlineStr">
        <is>
          <t>N</t>
        </is>
      </c>
      <c r="M9" s="7" t="inlineStr">
        <is>
          <t>Y</t>
        </is>
      </c>
      <c r="N9" s="7" t="inlineStr">
        <is>
          <t>531 – Real Estate (Residential)</t>
        </is>
      </c>
      <c r="O9" s="7" t="inlineStr">
        <is>
          <t>Real Estate</t>
        </is>
      </c>
      <c r="P9" s="29" t="n">
        <v>14000000</v>
      </c>
      <c r="Q9" s="30" t="n">
        <v>9000000</v>
      </c>
      <c r="R9" s="30" t="n">
        <v>1800000</v>
      </c>
      <c r="S9" s="30" t="n">
        <v>7200000</v>
      </c>
      <c r="T9" s="30" t="n">
        <v>7200000</v>
      </c>
      <c r="U9" s="30" t="n">
        <v>3510000</v>
      </c>
      <c r="V9" s="30" t="n">
        <v>2913300</v>
      </c>
      <c r="W9" s="30" t="n">
        <v>225000</v>
      </c>
      <c r="X9" s="30" t="n">
        <v>9286700</v>
      </c>
      <c r="Y9" s="29" t="n">
        <v>0</v>
      </c>
      <c r="Z9" s="30" t="n">
        <v>1120000</v>
      </c>
      <c r="AA9" s="7" t="inlineStr"/>
      <c r="AB9" s="7" t="inlineStr"/>
      <c r="AC9" s="7" t="inlineStr">
        <is>
          <t>2025-10-31</t>
        </is>
      </c>
      <c r="AD9" s="29" t="n">
        <v>15</v>
      </c>
      <c r="AE9" s="29" t="n">
        <v>5</v>
      </c>
      <c r="AF9" s="29" t="n">
        <v>72</v>
      </c>
      <c r="AG9" s="29" t="n">
        <v>0</v>
      </c>
    </row>
    <row r="10" ht="16" customHeight="1">
      <c r="A10" s="5" t="inlineStr">
        <is>
          <t>PRJ-007</t>
        </is>
      </c>
      <c r="B10" s="5" t="inlineStr">
        <is>
          <t>Miami CRC QALICB LLC</t>
        </is>
      </c>
      <c r="C10" s="5" t="inlineStr">
        <is>
          <t>Miami Community Resource Center</t>
        </is>
      </c>
      <c r="D10" s="5" t="inlineStr">
        <is>
          <t>3000 NW 27th Ave</t>
        </is>
      </c>
      <c r="E10" s="5" t="inlineStr">
        <is>
          <t>Miami</t>
        </is>
      </c>
      <c r="F10" s="5" t="inlineStr">
        <is>
          <t>FL</t>
        </is>
      </c>
      <c r="G10" s="5" t="inlineStr"/>
      <c r="H10" s="5" t="inlineStr">
        <is>
          <t>12086000900</t>
        </is>
      </c>
      <c r="I10" s="5" t="inlineStr">
        <is>
          <t>Y</t>
        </is>
      </c>
      <c r="J10" s="5" t="inlineStr">
        <is>
          <t>Low Income Community</t>
        </is>
      </c>
      <c r="K10" s="5" t="inlineStr">
        <is>
          <t>N</t>
        </is>
      </c>
      <c r="L10" s="5" t="inlineStr">
        <is>
          <t>N</t>
        </is>
      </c>
      <c r="M10" s="5" t="inlineStr">
        <is>
          <t>N</t>
        </is>
      </c>
      <c r="N10" s="5" t="inlineStr">
        <is>
          <t>624 – Social Assistance / Community Facilities</t>
        </is>
      </c>
      <c r="O10" s="5" t="inlineStr">
        <is>
          <t>Real Estate</t>
        </is>
      </c>
      <c r="P10" s="27" t="n">
        <v>5500000</v>
      </c>
      <c r="Q10" s="28" t="n">
        <v>4000000</v>
      </c>
      <c r="R10" s="28" t="n">
        <v>800000</v>
      </c>
      <c r="S10" s="28" t="n">
        <v>3200000</v>
      </c>
      <c r="T10" s="28" t="n">
        <v>3200000</v>
      </c>
      <c r="U10" s="28" t="n">
        <v>1560000</v>
      </c>
      <c r="V10" s="28" t="n">
        <v>1294800</v>
      </c>
      <c r="W10" s="28" t="n">
        <v>100000</v>
      </c>
      <c r="X10" s="28" t="n">
        <v>3405200</v>
      </c>
      <c r="Y10" s="27" t="n">
        <v>0</v>
      </c>
      <c r="Z10" s="28" t="n">
        <v>440000</v>
      </c>
      <c r="AA10" s="5" t="inlineStr"/>
      <c r="AB10" s="5" t="inlineStr"/>
      <c r="AC10" s="5" t="inlineStr">
        <is>
          <t>2025-09-15</t>
        </is>
      </c>
      <c r="AD10" s="27" t="n">
        <v>28</v>
      </c>
      <c r="AE10" s="27" t="n">
        <v>10</v>
      </c>
      <c r="AF10" s="27" t="n">
        <v>0</v>
      </c>
      <c r="AG10" s="27" t="n">
        <v>12000</v>
      </c>
    </row>
    <row r="11" ht="16" customHeight="1">
      <c r="A11" s="7" t="inlineStr">
        <is>
          <t>PRJ-008</t>
        </is>
      </c>
      <c r="B11" s="7" t="inlineStr">
        <is>
          <t>North Philly Wellness QALICB LLC</t>
        </is>
      </c>
      <c r="C11" s="7" t="inlineStr">
        <is>
          <t>North Philadelphia Wellness Hub</t>
        </is>
      </c>
      <c r="D11" s="7" t="inlineStr">
        <is>
          <t>2500 N Broad St</t>
        </is>
      </c>
      <c r="E11" s="7" t="inlineStr">
        <is>
          <t>Philadelphia</t>
        </is>
      </c>
      <c r="F11" s="7" t="inlineStr">
        <is>
          <t>PA</t>
        </is>
      </c>
      <c r="G11" s="7" t="inlineStr"/>
      <c r="H11" s="7" t="inlineStr">
        <is>
          <t>42101017900</t>
        </is>
      </c>
      <c r="I11" s="7" t="inlineStr">
        <is>
          <t>Y</t>
        </is>
      </c>
      <c r="J11" s="7" t="inlineStr">
        <is>
          <t>Deep Distress</t>
        </is>
      </c>
      <c r="K11" s="7" t="inlineStr">
        <is>
          <t>N</t>
        </is>
      </c>
      <c r="L11" s="7" t="inlineStr">
        <is>
          <t>N</t>
        </is>
      </c>
      <c r="M11" s="7" t="inlineStr">
        <is>
          <t>N</t>
        </is>
      </c>
      <c r="N11" s="7" t="inlineStr">
        <is>
          <t>621 – Ambulatory Health Care Services</t>
        </is>
      </c>
      <c r="O11" s="7" t="inlineStr">
        <is>
          <t>Mixed Use</t>
        </is>
      </c>
      <c r="P11" s="29" t="n">
        <v>11000000</v>
      </c>
      <c r="Q11" s="30" t="n">
        <v>8000000</v>
      </c>
      <c r="R11" s="30" t="n">
        <v>1600000</v>
      </c>
      <c r="S11" s="30" t="n">
        <v>6400000</v>
      </c>
      <c r="T11" s="30" t="n">
        <v>6400000</v>
      </c>
      <c r="U11" s="30" t="n">
        <v>3120000</v>
      </c>
      <c r="V11" s="30" t="n">
        <v>2589600</v>
      </c>
      <c r="W11" s="30" t="n">
        <v>200000</v>
      </c>
      <c r="X11" s="30" t="n">
        <v>6810400</v>
      </c>
      <c r="Y11" s="29" t="n">
        <v>0</v>
      </c>
      <c r="Z11" s="30" t="n">
        <v>880000</v>
      </c>
      <c r="AA11" s="7" t="inlineStr"/>
      <c r="AB11" s="7" t="inlineStr"/>
      <c r="AC11" s="7" t="inlineStr">
        <is>
          <t>2026-03-31</t>
        </is>
      </c>
      <c r="AD11" s="29" t="n">
        <v>55</v>
      </c>
      <c r="AE11" s="29" t="n">
        <v>20</v>
      </c>
      <c r="AF11" s="29" t="n">
        <v>0</v>
      </c>
      <c r="AG11" s="29" t="n">
        <v>22000</v>
      </c>
    </row>
    <row r="12" ht="16" customHeight="1">
      <c r="A12" s="5" t="inlineStr">
        <is>
          <t>PRJ-009</t>
        </is>
      </c>
      <c r="B12" s="5" t="inlineStr">
        <is>
          <t>NOLA Culinary QALICB LLC</t>
        </is>
      </c>
      <c r="C12" s="5" t="inlineStr">
        <is>
          <t>New Orleans Culinary Arts Center</t>
        </is>
      </c>
      <c r="D12" s="5" t="inlineStr">
        <is>
          <t>1800 Oretha Castle Haley Blvd</t>
        </is>
      </c>
      <c r="E12" s="5" t="inlineStr">
        <is>
          <t>New Orleans</t>
        </is>
      </c>
      <c r="F12" s="5" t="inlineStr">
        <is>
          <t>LA</t>
        </is>
      </c>
      <c r="G12" s="5" t="inlineStr"/>
      <c r="H12" s="5" t="inlineStr">
        <is>
          <t>22071008500</t>
        </is>
      </c>
      <c r="I12" s="5" t="inlineStr">
        <is>
          <t>Y</t>
        </is>
      </c>
      <c r="J12" s="5" t="inlineStr">
        <is>
          <t>Deep Distress</t>
        </is>
      </c>
      <c r="K12" s="5" t="inlineStr">
        <is>
          <t>N</t>
        </is>
      </c>
      <c r="L12" s="5" t="inlineStr">
        <is>
          <t>N</t>
        </is>
      </c>
      <c r="M12" s="5" t="inlineStr">
        <is>
          <t>Y</t>
        </is>
      </c>
      <c r="N12" s="5" t="inlineStr">
        <is>
          <t>611 – Educational Services</t>
        </is>
      </c>
      <c r="O12" s="5" t="inlineStr">
        <is>
          <t>Real Estate</t>
        </is>
      </c>
      <c r="P12" s="27" t="n">
        <v>8200000</v>
      </c>
      <c r="Q12" s="28" t="n">
        <v>6000000</v>
      </c>
      <c r="R12" s="28" t="n">
        <v>1200000</v>
      </c>
      <c r="S12" s="28" t="n">
        <v>4800000</v>
      </c>
      <c r="T12" s="28" t="n">
        <v>4800000</v>
      </c>
      <c r="U12" s="28" t="n">
        <v>2340000</v>
      </c>
      <c r="V12" s="28" t="n">
        <v>1942200</v>
      </c>
      <c r="W12" s="28" t="n">
        <v>150000</v>
      </c>
      <c r="X12" s="28" t="n">
        <v>5057800</v>
      </c>
      <c r="Y12" s="27" t="n">
        <v>0</v>
      </c>
      <c r="Z12" s="28" t="n">
        <v>656000</v>
      </c>
      <c r="AA12" s="5" t="inlineStr"/>
      <c r="AB12" s="5" t="inlineStr"/>
      <c r="AC12" s="5" t="inlineStr">
        <is>
          <t>2025-11-15</t>
        </is>
      </c>
      <c r="AD12" s="27" t="n">
        <v>35</v>
      </c>
      <c r="AE12" s="27" t="n">
        <v>8</v>
      </c>
      <c r="AF12" s="27" t="n">
        <v>0</v>
      </c>
      <c r="AG12" s="27" t="n">
        <v>16000</v>
      </c>
    </row>
    <row r="13" ht="16" customHeight="1">
      <c r="A13" s="7" t="inlineStr">
        <is>
          <t>PRJ-010</t>
        </is>
      </c>
      <c r="B13" s="7" t="inlineStr">
        <is>
          <t>Memphis SBI QALICB LLC</t>
        </is>
      </c>
      <c r="C13" s="7" t="inlineStr">
        <is>
          <t>Memphis Small Business Incubator</t>
        </is>
      </c>
      <c r="D13" s="7" t="inlineStr">
        <is>
          <t>400 Monroe Ave</t>
        </is>
      </c>
      <c r="E13" s="7" t="inlineStr">
        <is>
          <t>Memphis</t>
        </is>
      </c>
      <c r="F13" s="7" t="inlineStr">
        <is>
          <t>TN</t>
        </is>
      </c>
      <c r="G13" s="7" t="inlineStr"/>
      <c r="H13" s="7" t="inlineStr">
        <is>
          <t>47157002400</t>
        </is>
      </c>
      <c r="I13" s="7" t="inlineStr">
        <is>
          <t>Y</t>
        </is>
      </c>
      <c r="J13" s="7" t="inlineStr">
        <is>
          <t>Deep Distress</t>
        </is>
      </c>
      <c r="K13" s="7" t="inlineStr">
        <is>
          <t>N</t>
        </is>
      </c>
      <c r="L13" s="7" t="inlineStr">
        <is>
          <t>N</t>
        </is>
      </c>
      <c r="M13" s="7" t="inlineStr">
        <is>
          <t>N</t>
        </is>
      </c>
      <c r="N13" s="7" t="inlineStr">
        <is>
          <t>722/336 – Food Services / Manufacturing</t>
        </is>
      </c>
      <c r="O13" s="7" t="inlineStr">
        <is>
          <t>Operating Business</t>
        </is>
      </c>
      <c r="P13" s="29" t="n">
        <v>4800000</v>
      </c>
      <c r="Q13" s="30" t="n">
        <v>3500000</v>
      </c>
      <c r="R13" s="30" t="n">
        <v>700000</v>
      </c>
      <c r="S13" s="30" t="n">
        <v>2800000</v>
      </c>
      <c r="T13" s="30" t="n">
        <v>2800000</v>
      </c>
      <c r="U13" s="30" t="n">
        <v>1365000</v>
      </c>
      <c r="V13" s="30" t="n">
        <v>1132950</v>
      </c>
      <c r="W13" s="30" t="n">
        <v>87500</v>
      </c>
      <c r="X13" s="30" t="n">
        <v>2967050</v>
      </c>
      <c r="Y13" s="29" t="n">
        <v>0</v>
      </c>
      <c r="Z13" s="30" t="n">
        <v>384000</v>
      </c>
      <c r="AA13" s="7" t="inlineStr"/>
      <c r="AB13" s="7" t="inlineStr"/>
      <c r="AC13" s="7" t="inlineStr">
        <is>
          <t>2025-08-15</t>
        </is>
      </c>
      <c r="AD13" s="29" t="n">
        <v>90</v>
      </c>
      <c r="AE13" s="29" t="n">
        <v>15</v>
      </c>
      <c r="AF13" s="29" t="n">
        <v>0</v>
      </c>
      <c r="AG13" s="29" t="n">
        <v>0</v>
      </c>
    </row>
    <row r="14" ht="16" customHeight="1">
      <c r="A14" s="5" t="inlineStr">
        <is>
          <t>PRJ-011</t>
        </is>
      </c>
      <c r="B14" s="5" t="inlineStr">
        <is>
          <t>MKE Affordable QALICB LLC</t>
        </is>
      </c>
      <c r="C14" s="5" t="inlineStr">
        <is>
          <t>Milwaukee Affordable Apartments</t>
        </is>
      </c>
      <c r="D14" s="5" t="inlineStr">
        <is>
          <t>1900 W National Ave</t>
        </is>
      </c>
      <c r="E14" s="5" t="inlineStr">
        <is>
          <t>Milwaukee</t>
        </is>
      </c>
      <c r="F14" s="5" t="inlineStr">
        <is>
          <t>WI</t>
        </is>
      </c>
      <c r="G14" s="5" t="inlineStr"/>
      <c r="H14" s="5" t="inlineStr">
        <is>
          <t>55079141700</t>
        </is>
      </c>
      <c r="I14" s="5" t="inlineStr">
        <is>
          <t>Y</t>
        </is>
      </c>
      <c r="J14" s="5" t="inlineStr">
        <is>
          <t>Severely Distressed</t>
        </is>
      </c>
      <c r="K14" s="5" t="inlineStr">
        <is>
          <t>N</t>
        </is>
      </c>
      <c r="L14" s="5" t="inlineStr">
        <is>
          <t>N</t>
        </is>
      </c>
      <c r="M14" s="5" t="inlineStr">
        <is>
          <t>N</t>
        </is>
      </c>
      <c r="N14" s="5" t="inlineStr">
        <is>
          <t>531 – Real Estate (Residential)</t>
        </is>
      </c>
      <c r="O14" s="5" t="inlineStr">
        <is>
          <t>Real Estate</t>
        </is>
      </c>
      <c r="P14" s="27" t="n">
        <v>13500000</v>
      </c>
      <c r="Q14" s="28" t="n">
        <v>9500000</v>
      </c>
      <c r="R14" s="28" t="n">
        <v>1900000</v>
      </c>
      <c r="S14" s="28" t="n">
        <v>7600000</v>
      </c>
      <c r="T14" s="28" t="n">
        <v>7600000</v>
      </c>
      <c r="U14" s="28" t="n">
        <v>3705000</v>
      </c>
      <c r="V14" s="28" t="n">
        <v>3075150</v>
      </c>
      <c r="W14" s="28" t="n">
        <v>237500</v>
      </c>
      <c r="X14" s="28" t="n">
        <v>8524850</v>
      </c>
      <c r="Y14" s="27" t="n">
        <v>0</v>
      </c>
      <c r="Z14" s="28" t="n">
        <v>1080000</v>
      </c>
      <c r="AA14" s="5" t="inlineStr"/>
      <c r="AB14" s="5" t="inlineStr"/>
      <c r="AC14" s="5" t="inlineStr">
        <is>
          <t>2026-02-28</t>
        </is>
      </c>
      <c r="AD14" s="27" t="n">
        <v>12</v>
      </c>
      <c r="AE14" s="27" t="n">
        <v>4</v>
      </c>
      <c r="AF14" s="27" t="n">
        <v>64</v>
      </c>
      <c r="AG14" s="27" t="n">
        <v>0</v>
      </c>
    </row>
    <row r="15" ht="16" customHeight="1">
      <c r="A15" s="7" t="inlineStr">
        <is>
          <t>PRJ-012</t>
        </is>
      </c>
      <c r="B15" s="7" t="inlineStr">
        <is>
          <t>STL Solar QALICB LLC</t>
        </is>
      </c>
      <c r="C15" s="7" t="inlineStr">
        <is>
          <t>St. Louis Community Solar Project</t>
        </is>
      </c>
      <c r="D15" s="7" t="inlineStr">
        <is>
          <t>3600 Market St</t>
        </is>
      </c>
      <c r="E15" s="7" t="inlineStr">
        <is>
          <t>St. Louis</t>
        </is>
      </c>
      <c r="F15" s="7" t="inlineStr">
        <is>
          <t>MO</t>
        </is>
      </c>
      <c r="G15" s="7" t="inlineStr"/>
      <c r="H15" s="7" t="inlineStr">
        <is>
          <t>29510109500</t>
        </is>
      </c>
      <c r="I15" s="7" t="inlineStr">
        <is>
          <t>Y</t>
        </is>
      </c>
      <c r="J15" s="7" t="inlineStr">
        <is>
          <t>Low Income Community</t>
        </is>
      </c>
      <c r="K15" s="7" t="inlineStr">
        <is>
          <t>N</t>
        </is>
      </c>
      <c r="L15" s="7" t="inlineStr">
        <is>
          <t>N</t>
        </is>
      </c>
      <c r="M15" s="7" t="inlineStr">
        <is>
          <t>Y</t>
        </is>
      </c>
      <c r="N15" s="7" t="inlineStr">
        <is>
          <t>221 – Utilities (Renewable Energy)</t>
        </is>
      </c>
      <c r="O15" s="7" t="inlineStr">
        <is>
          <t>Operating Business</t>
        </is>
      </c>
      <c r="P15" s="29" t="n">
        <v>5000000</v>
      </c>
      <c r="Q15" s="30" t="n">
        <v>3800000</v>
      </c>
      <c r="R15" s="30" t="n">
        <v>760000</v>
      </c>
      <c r="S15" s="30" t="n">
        <v>3040000</v>
      </c>
      <c r="T15" s="30" t="n">
        <v>3040000</v>
      </c>
      <c r="U15" s="30" t="n">
        <v>1482000</v>
      </c>
      <c r="V15" s="30" t="n">
        <v>1230060</v>
      </c>
      <c r="W15" s="30" t="n">
        <v>95000</v>
      </c>
      <c r="X15" s="30" t="n">
        <v>3009940</v>
      </c>
      <c r="Y15" s="29" t="n">
        <v>0</v>
      </c>
      <c r="Z15" s="30" t="n">
        <v>400000</v>
      </c>
      <c r="AA15" s="7" t="inlineStr"/>
      <c r="AB15" s="7" t="inlineStr"/>
      <c r="AC15" s="7" t="inlineStr">
        <is>
          <t>2025-10-15</t>
        </is>
      </c>
      <c r="AD15" s="29" t="n">
        <v>22</v>
      </c>
      <c r="AE15" s="29" t="n">
        <v>6</v>
      </c>
      <c r="AF15" s="29" t="n">
        <v>0</v>
      </c>
      <c r="AG15" s="29" t="n">
        <v>0</v>
      </c>
    </row>
    <row r="16" ht="16" customHeight="1">
      <c r="A16" s="5" t="inlineStr">
        <is>
          <t>PRJ-013</t>
        </is>
      </c>
      <c r="B16" s="5" t="inlineStr">
        <is>
          <t>Charlotte WTC QALICB LLC</t>
        </is>
      </c>
      <c r="C16" s="5" t="inlineStr">
        <is>
          <t>Charlotte Workforce Training Center</t>
        </is>
      </c>
      <c r="D16" s="5" t="inlineStr">
        <is>
          <t>2800 Freedom Dr</t>
        </is>
      </c>
      <c r="E16" s="5" t="inlineStr">
        <is>
          <t>Charlotte</t>
        </is>
      </c>
      <c r="F16" s="5" t="inlineStr">
        <is>
          <t>NC</t>
        </is>
      </c>
      <c r="G16" s="5" t="inlineStr"/>
      <c r="H16" s="5" t="inlineStr">
        <is>
          <t>37119001900</t>
        </is>
      </c>
      <c r="I16" s="5" t="inlineStr">
        <is>
          <t>Y</t>
        </is>
      </c>
      <c r="J16" s="5" t="inlineStr">
        <is>
          <t>Deep Distress</t>
        </is>
      </c>
      <c r="K16" s="5" t="inlineStr">
        <is>
          <t>N</t>
        </is>
      </c>
      <c r="L16" s="5" t="inlineStr">
        <is>
          <t>N</t>
        </is>
      </c>
      <c r="M16" s="5" t="inlineStr">
        <is>
          <t>N</t>
        </is>
      </c>
      <c r="N16" s="5" t="inlineStr">
        <is>
          <t>611 – Educational Services</t>
        </is>
      </c>
      <c r="O16" s="5" t="inlineStr">
        <is>
          <t>Real Estate</t>
        </is>
      </c>
      <c r="P16" s="27" t="n">
        <v>7500000</v>
      </c>
      <c r="Q16" s="28" t="n">
        <v>5500000</v>
      </c>
      <c r="R16" s="28" t="n">
        <v>1100000</v>
      </c>
      <c r="S16" s="28" t="n">
        <v>4400000</v>
      </c>
      <c r="T16" s="28" t="n">
        <v>4400000</v>
      </c>
      <c r="U16" s="28" t="n">
        <v>2145000</v>
      </c>
      <c r="V16" s="28" t="n">
        <v>1780350</v>
      </c>
      <c r="W16" s="28" t="n">
        <v>137500</v>
      </c>
      <c r="X16" s="28" t="n">
        <v>4619650</v>
      </c>
      <c r="Y16" s="27" t="n">
        <v>0</v>
      </c>
      <c r="Z16" s="28" t="n">
        <v>600000</v>
      </c>
      <c r="AA16" s="5" t="inlineStr"/>
      <c r="AB16" s="5" t="inlineStr"/>
      <c r="AC16" s="5" t="inlineStr">
        <is>
          <t>2025-12-31</t>
        </is>
      </c>
      <c r="AD16" s="27" t="n">
        <v>30</v>
      </c>
      <c r="AE16" s="27" t="n">
        <v>12</v>
      </c>
      <c r="AF16" s="27" t="n">
        <v>0</v>
      </c>
      <c r="AG16" s="27" t="n">
        <v>14000</v>
      </c>
    </row>
    <row r="17" ht="16" customHeight="1">
      <c r="A17" s="7" t="inlineStr">
        <is>
          <t>PRJ-014</t>
        </is>
      </c>
      <c r="B17" s="7" t="inlineStr">
        <is>
          <t>Phoenix Native HC QALICB LLC</t>
        </is>
      </c>
      <c r="C17" s="7" t="inlineStr">
        <is>
          <t>Phoenix Native American Health Clinic</t>
        </is>
      </c>
      <c r="D17" s="7" t="inlineStr">
        <is>
          <t>4212 W Indian School Rd</t>
        </is>
      </c>
      <c r="E17" s="7" t="inlineStr">
        <is>
          <t>Phoenix</t>
        </is>
      </c>
      <c r="F17" s="7" t="inlineStr">
        <is>
          <t>AZ</t>
        </is>
      </c>
      <c r="G17" s="7" t="inlineStr"/>
      <c r="H17" s="7" t="inlineStr">
        <is>
          <t>04013118400</t>
        </is>
      </c>
      <c r="I17" s="7" t="inlineStr">
        <is>
          <t>Y</t>
        </is>
      </c>
      <c r="J17" s="7" t="inlineStr">
        <is>
          <t>Deep Distress</t>
        </is>
      </c>
      <c r="K17" s="7" t="inlineStr">
        <is>
          <t>Y</t>
        </is>
      </c>
      <c r="L17" s="7" t="inlineStr">
        <is>
          <t>N</t>
        </is>
      </c>
      <c r="M17" s="7" t="inlineStr">
        <is>
          <t>N</t>
        </is>
      </c>
      <c r="N17" s="7" t="inlineStr">
        <is>
          <t>621 – Ambulatory Health Care Services</t>
        </is>
      </c>
      <c r="O17" s="7" t="inlineStr">
        <is>
          <t>Real Estate</t>
        </is>
      </c>
      <c r="P17" s="29" t="n">
        <v>9000000</v>
      </c>
      <c r="Q17" s="30" t="n">
        <v>6500000</v>
      </c>
      <c r="R17" s="30" t="n">
        <v>1300000</v>
      </c>
      <c r="S17" s="30" t="n">
        <v>5200000</v>
      </c>
      <c r="T17" s="30" t="n">
        <v>5200000</v>
      </c>
      <c r="U17" s="30" t="n">
        <v>2535000</v>
      </c>
      <c r="V17" s="30" t="n">
        <v>2104050</v>
      </c>
      <c r="W17" s="30" t="n">
        <v>162500</v>
      </c>
      <c r="X17" s="30" t="n">
        <v>5595950</v>
      </c>
      <c r="Y17" s="29" t="n">
        <v>0</v>
      </c>
      <c r="Z17" s="30" t="n">
        <v>720000</v>
      </c>
      <c r="AA17" s="7" t="inlineStr"/>
      <c r="AB17" s="7" t="inlineStr"/>
      <c r="AC17" s="7" t="inlineStr">
        <is>
          <t>2026-01-15</t>
        </is>
      </c>
      <c r="AD17" s="29" t="n">
        <v>48</v>
      </c>
      <c r="AE17" s="29" t="n">
        <v>25</v>
      </c>
      <c r="AF17" s="29" t="n">
        <v>0</v>
      </c>
      <c r="AG17" s="29" t="n">
        <v>18500</v>
      </c>
    </row>
    <row r="18" ht="16" customHeight="1">
      <c r="A18" s="5" t="inlineStr">
        <is>
          <t>PRJ-015</t>
        </is>
      </c>
      <c r="B18" s="5" t="inlineStr">
        <is>
          <t>Detroit Auto Parts QALICB LLC</t>
        </is>
      </c>
      <c r="C18" s="5" t="inlineStr">
        <is>
          <t>Detroit Auto Parts Manufacturer</t>
        </is>
      </c>
      <c r="D18" s="5" t="inlineStr">
        <is>
          <t>7800 E Jefferson Ave</t>
        </is>
      </c>
      <c r="E18" s="5" t="inlineStr">
        <is>
          <t>Detroit</t>
        </is>
      </c>
      <c r="F18" s="5" t="inlineStr">
        <is>
          <t>MI</t>
        </is>
      </c>
      <c r="G18" s="5" t="inlineStr"/>
      <c r="H18" s="5" t="inlineStr">
        <is>
          <t>26163527900</t>
        </is>
      </c>
      <c r="I18" s="5" t="inlineStr">
        <is>
          <t>Y</t>
        </is>
      </c>
      <c r="J18" s="5" t="inlineStr">
        <is>
          <t>Deep Distress</t>
        </is>
      </c>
      <c r="K18" s="5" t="inlineStr">
        <is>
          <t>N</t>
        </is>
      </c>
      <c r="L18" s="5" t="inlineStr">
        <is>
          <t>N</t>
        </is>
      </c>
      <c r="M18" s="5" t="inlineStr">
        <is>
          <t>Y</t>
        </is>
      </c>
      <c r="N18" s="5" t="inlineStr">
        <is>
          <t>722/336 – Food Services / Manufacturing</t>
        </is>
      </c>
      <c r="O18" s="5" t="inlineStr">
        <is>
          <t>Operating Business</t>
        </is>
      </c>
      <c r="P18" s="27" t="n">
        <v>6500000</v>
      </c>
      <c r="Q18" s="28" t="n">
        <v>5000000</v>
      </c>
      <c r="R18" s="28" t="n">
        <v>1000000</v>
      </c>
      <c r="S18" s="28" t="n">
        <v>4000000</v>
      </c>
      <c r="T18" s="28" t="n">
        <v>4000000</v>
      </c>
      <c r="U18" s="28" t="n">
        <v>1950000</v>
      </c>
      <c r="V18" s="28" t="n">
        <v>1618500</v>
      </c>
      <c r="W18" s="28" t="n">
        <v>125000</v>
      </c>
      <c r="X18" s="28" t="n">
        <v>3881500</v>
      </c>
      <c r="Y18" s="27" t="n">
        <v>0</v>
      </c>
      <c r="Z18" s="28" t="n">
        <v>520000</v>
      </c>
      <c r="AA18" s="5" t="inlineStr"/>
      <c r="AB18" s="5" t="inlineStr"/>
      <c r="AC18" s="5" t="inlineStr">
        <is>
          <t>2025-09-30</t>
        </is>
      </c>
      <c r="AD18" s="27" t="n">
        <v>110</v>
      </c>
      <c r="AE18" s="27" t="n">
        <v>45</v>
      </c>
      <c r="AF18" s="27" t="n">
        <v>0</v>
      </c>
      <c r="AG18" s="27" t="n">
        <v>0</v>
      </c>
    </row>
    <row r="19" ht="16" customHeight="1">
      <c r="A19" s="7" t="inlineStr">
        <is>
          <t>PRJ-016</t>
        </is>
      </c>
      <c r="B19" s="7" t="inlineStr">
        <is>
          <t>Indy Community Hub QALICB LLC</t>
        </is>
      </c>
      <c r="C19" s="7" t="inlineStr">
        <is>
          <t>Indianapolis Mixed-Use Community Hub</t>
        </is>
      </c>
      <c r="D19" s="7" t="inlineStr">
        <is>
          <t>1200 N Alabama St</t>
        </is>
      </c>
      <c r="E19" s="7" t="inlineStr">
        <is>
          <t>Indianapolis</t>
        </is>
      </c>
      <c r="F19" s="7" t="inlineStr">
        <is>
          <t>IN</t>
        </is>
      </c>
      <c r="G19" s="7" t="inlineStr"/>
      <c r="H19" s="7" t="inlineStr">
        <is>
          <t>18097350200</t>
        </is>
      </c>
      <c r="I19" s="7" t="inlineStr">
        <is>
          <t>Y</t>
        </is>
      </c>
      <c r="J19" s="7" t="inlineStr">
        <is>
          <t>Severely Distressed</t>
        </is>
      </c>
      <c r="K19" s="7" t="inlineStr">
        <is>
          <t>N</t>
        </is>
      </c>
      <c r="L19" s="7" t="inlineStr">
        <is>
          <t>N</t>
        </is>
      </c>
      <c r="M19" s="7" t="inlineStr">
        <is>
          <t>N</t>
        </is>
      </c>
      <c r="N19" s="7" t="inlineStr">
        <is>
          <t>531 – Real Estate (Mixed Use)</t>
        </is>
      </c>
      <c r="O19" s="7" t="inlineStr">
        <is>
          <t>Mixed Use</t>
        </is>
      </c>
      <c r="P19" s="29" t="n">
        <v>10500000</v>
      </c>
      <c r="Q19" s="30" t="n">
        <v>7500000</v>
      </c>
      <c r="R19" s="30" t="n">
        <v>1500000</v>
      </c>
      <c r="S19" s="30" t="n">
        <v>6000000</v>
      </c>
      <c r="T19" s="30" t="n">
        <v>6000000</v>
      </c>
      <c r="U19" s="30" t="n">
        <v>2925000</v>
      </c>
      <c r="V19" s="30" t="n">
        <v>2427750</v>
      </c>
      <c r="W19" s="30" t="n">
        <v>187500</v>
      </c>
      <c r="X19" s="30" t="n">
        <v>6572250</v>
      </c>
      <c r="Y19" s="29" t="n">
        <v>0</v>
      </c>
      <c r="Z19" s="30" t="n">
        <v>840000</v>
      </c>
      <c r="AA19" s="7" t="inlineStr"/>
      <c r="AB19" s="7" t="inlineStr"/>
      <c r="AC19" s="7" t="inlineStr">
        <is>
          <t>2026-03-15</t>
        </is>
      </c>
      <c r="AD19" s="29" t="n">
        <v>35</v>
      </c>
      <c r="AE19" s="29" t="n">
        <v>10</v>
      </c>
      <c r="AF19" s="29" t="n">
        <v>24</v>
      </c>
      <c r="AG19" s="29" t="n">
        <v>20000</v>
      </c>
    </row>
    <row r="20" ht="16" customHeight="1">
      <c r="A20" s="5" t="inlineStr">
        <is>
          <t>PRJ-017</t>
        </is>
      </c>
      <c r="B20" s="5" t="inlineStr">
        <is>
          <t>Rural MS Health QALICB LLC</t>
        </is>
      </c>
      <c r="C20" s="5" t="inlineStr">
        <is>
          <t>Rural Mississippi Health Access Center</t>
        </is>
      </c>
      <c r="D20" s="5" t="inlineStr">
        <is>
          <t>510 Main St</t>
        </is>
      </c>
      <c r="E20" s="5" t="inlineStr">
        <is>
          <t>Greenville</t>
        </is>
      </c>
      <c r="F20" s="5" t="inlineStr">
        <is>
          <t>MS</t>
        </is>
      </c>
      <c r="G20" s="5" t="inlineStr"/>
      <c r="H20" s="5" t="inlineStr">
        <is>
          <t>28065950100</t>
        </is>
      </c>
      <c r="I20" s="5" t="inlineStr">
        <is>
          <t>Y</t>
        </is>
      </c>
      <c r="J20" s="5" t="inlineStr">
        <is>
          <t>Deep Distress</t>
        </is>
      </c>
      <c r="K20" s="5" t="inlineStr">
        <is>
          <t>N</t>
        </is>
      </c>
      <c r="L20" s="5" t="inlineStr">
        <is>
          <t>Y</t>
        </is>
      </c>
      <c r="M20" s="5" t="inlineStr">
        <is>
          <t>N</t>
        </is>
      </c>
      <c r="N20" s="5" t="inlineStr">
        <is>
          <t>621 – Ambulatory Health Care Services</t>
        </is>
      </c>
      <c r="O20" s="5" t="inlineStr">
        <is>
          <t>Real Estate</t>
        </is>
      </c>
      <c r="P20" s="27" t="n">
        <v>4200000</v>
      </c>
      <c r="Q20" s="28" t="n">
        <v>3200000</v>
      </c>
      <c r="R20" s="28" t="n">
        <v>640000</v>
      </c>
      <c r="S20" s="28" t="n">
        <v>2560000</v>
      </c>
      <c r="T20" s="28" t="n">
        <v>2560000</v>
      </c>
      <c r="U20" s="28" t="n">
        <v>1248000</v>
      </c>
      <c r="V20" s="28" t="n">
        <v>1035840</v>
      </c>
      <c r="W20" s="28" t="n">
        <v>80000</v>
      </c>
      <c r="X20" s="28" t="n">
        <v>2524160</v>
      </c>
      <c r="Y20" s="27" t="n">
        <v>0</v>
      </c>
      <c r="Z20" s="28" t="n">
        <v>336000</v>
      </c>
      <c r="AA20" s="5" t="inlineStr"/>
      <c r="AB20" s="5" t="inlineStr"/>
      <c r="AC20" s="5" t="inlineStr">
        <is>
          <t>2025-11-30</t>
        </is>
      </c>
      <c r="AD20" s="27" t="n">
        <v>20</v>
      </c>
      <c r="AE20" s="27" t="n">
        <v>15</v>
      </c>
      <c r="AF20" s="27" t="n">
        <v>0</v>
      </c>
      <c r="AG20" s="27" t="n">
        <v>8000</v>
      </c>
    </row>
    <row r="21" ht="16" customHeight="1">
      <c r="A21" s="7" t="inlineStr">
        <is>
          <t>PRJ-018</t>
        </is>
      </c>
      <c r="B21" s="7" t="inlineStr">
        <is>
          <t>KC Senior Housing QALICB LLC</t>
        </is>
      </c>
      <c r="C21" s="7" t="inlineStr">
        <is>
          <t>Kansas City Affordable Senior Housing</t>
        </is>
      </c>
      <c r="D21" s="7" t="inlineStr">
        <is>
          <t>3500 Troost Ave</t>
        </is>
      </c>
      <c r="E21" s="7" t="inlineStr">
        <is>
          <t>Kansas City</t>
        </is>
      </c>
      <c r="F21" s="7" t="inlineStr">
        <is>
          <t>KS</t>
        </is>
      </c>
      <c r="G21" s="7" t="inlineStr"/>
      <c r="H21" s="7" t="inlineStr">
        <is>
          <t>20091000100</t>
        </is>
      </c>
      <c r="I21" s="7" t="inlineStr">
        <is>
          <t>Y</t>
        </is>
      </c>
      <c r="J21" s="7" t="inlineStr">
        <is>
          <t>Low Income Community</t>
        </is>
      </c>
      <c r="K21" s="7" t="inlineStr">
        <is>
          <t>N</t>
        </is>
      </c>
      <c r="L21" s="7" t="inlineStr">
        <is>
          <t>N</t>
        </is>
      </c>
      <c r="M21" s="7" t="inlineStr">
        <is>
          <t>N</t>
        </is>
      </c>
      <c r="N21" s="7" t="inlineStr">
        <is>
          <t>531 – Real Estate (Residential)</t>
        </is>
      </c>
      <c r="O21" s="7" t="inlineStr">
        <is>
          <t>Real Estate</t>
        </is>
      </c>
      <c r="P21" s="29" t="n">
        <v>11800000</v>
      </c>
      <c r="Q21" s="30" t="n">
        <v>8500000</v>
      </c>
      <c r="R21" s="30" t="n">
        <v>1700000</v>
      </c>
      <c r="S21" s="30" t="n">
        <v>6800000</v>
      </c>
      <c r="T21" s="30" t="n">
        <v>6800000</v>
      </c>
      <c r="U21" s="30" t="n">
        <v>3315000</v>
      </c>
      <c r="V21" s="30" t="n">
        <v>2751450</v>
      </c>
      <c r="W21" s="30" t="n">
        <v>212500</v>
      </c>
      <c r="X21" s="30" t="n">
        <v>7348550</v>
      </c>
      <c r="Y21" s="29" t="n">
        <v>0</v>
      </c>
      <c r="Z21" s="30" t="n">
        <v>944000</v>
      </c>
      <c r="AA21" s="7" t="inlineStr"/>
      <c r="AB21" s="7" t="inlineStr"/>
      <c r="AC21" s="7" t="inlineStr">
        <is>
          <t>2026-02-15</t>
        </is>
      </c>
      <c r="AD21" s="29" t="n">
        <v>10</v>
      </c>
      <c r="AE21" s="29" t="n">
        <v>3</v>
      </c>
      <c r="AF21" s="29" t="n">
        <v>56</v>
      </c>
      <c r="AG21" s="29" t="n">
        <v>0</v>
      </c>
    </row>
    <row r="22" ht="16" customHeight="1">
      <c r="A22" s="5" t="inlineStr">
        <is>
          <t>PRJ-019</t>
        </is>
      </c>
      <c r="B22" s="5" t="inlineStr">
        <is>
          <t>Baltimore Food QALICB LLC</t>
        </is>
      </c>
      <c r="C22" s="5" t="inlineStr">
        <is>
          <t>Baltimore Community Food Market</t>
        </is>
      </c>
      <c r="D22" s="5" t="inlineStr">
        <is>
          <t>2700 Pennsylvania Ave</t>
        </is>
      </c>
      <c r="E22" s="5" t="inlineStr">
        <is>
          <t>Baltimore</t>
        </is>
      </c>
      <c r="F22" s="5" t="inlineStr">
        <is>
          <t>MD</t>
        </is>
      </c>
      <c r="G22" s="5" t="inlineStr"/>
      <c r="H22" s="5" t="inlineStr">
        <is>
          <t>24510050200</t>
        </is>
      </c>
      <c r="I22" s="5" t="inlineStr">
        <is>
          <t>Y</t>
        </is>
      </c>
      <c r="J22" s="5" t="inlineStr">
        <is>
          <t>Severely Distressed</t>
        </is>
      </c>
      <c r="K22" s="5" t="inlineStr">
        <is>
          <t>N</t>
        </is>
      </c>
      <c r="L22" s="5" t="inlineStr">
        <is>
          <t>N</t>
        </is>
      </c>
      <c r="M22" s="5" t="inlineStr">
        <is>
          <t>N</t>
        </is>
      </c>
      <c r="N22" s="5" t="inlineStr">
        <is>
          <t>624 – Social Assistance / Community Facilities</t>
        </is>
      </c>
      <c r="O22" s="5" t="inlineStr">
        <is>
          <t>Real Estate</t>
        </is>
      </c>
      <c r="P22" s="27" t="n">
        <v>5800000</v>
      </c>
      <c r="Q22" s="28" t="n">
        <v>4200000</v>
      </c>
      <c r="R22" s="28" t="n">
        <v>840000</v>
      </c>
      <c r="S22" s="28" t="n">
        <v>3360000</v>
      </c>
      <c r="T22" s="28" t="n">
        <v>3360000</v>
      </c>
      <c r="U22" s="28" t="n">
        <v>1638000</v>
      </c>
      <c r="V22" s="28" t="n">
        <v>1359540</v>
      </c>
      <c r="W22" s="28" t="n">
        <v>105000</v>
      </c>
      <c r="X22" s="28" t="n">
        <v>3600460</v>
      </c>
      <c r="Y22" s="27" t="n">
        <v>0</v>
      </c>
      <c r="Z22" s="28" t="n">
        <v>464000</v>
      </c>
      <c r="AA22" s="5" t="inlineStr"/>
      <c r="AB22" s="5" t="inlineStr"/>
      <c r="AC22" s="5" t="inlineStr">
        <is>
          <t>2025-10-31</t>
        </is>
      </c>
      <c r="AD22" s="27" t="n">
        <v>45</v>
      </c>
      <c r="AE22" s="27" t="n">
        <v>8</v>
      </c>
      <c r="AF22" s="27" t="n">
        <v>0</v>
      </c>
      <c r="AG22" s="27" t="n">
        <v>11000</v>
      </c>
    </row>
    <row r="23" ht="16" customHeight="1">
      <c r="A23" s="7" t="inlineStr">
        <is>
          <t>PRJ-020</t>
        </is>
      </c>
      <c r="B23" s="7" t="inlineStr">
        <is>
          <t>ABQ Arts QALICB LLC</t>
        </is>
      </c>
      <c r="C23" s="7" t="inlineStr">
        <is>
          <t>Albuquerque Mixed-Use Arts District</t>
        </is>
      </c>
      <c r="D23" s="7" t="inlineStr">
        <is>
          <t>400 Central Ave NE</t>
        </is>
      </c>
      <c r="E23" s="7" t="inlineStr">
        <is>
          <t>Albuquerque</t>
        </is>
      </c>
      <c r="F23" s="7" t="inlineStr">
        <is>
          <t>NM</t>
        </is>
      </c>
      <c r="G23" s="7" t="inlineStr"/>
      <c r="H23" s="7" t="inlineStr">
        <is>
          <t>35001000900</t>
        </is>
      </c>
      <c r="I23" s="7" t="inlineStr">
        <is>
          <t>Y</t>
        </is>
      </c>
      <c r="J23" s="7" t="inlineStr">
        <is>
          <t>Deep Distress</t>
        </is>
      </c>
      <c r="K23" s="7" t="inlineStr">
        <is>
          <t>Y</t>
        </is>
      </c>
      <c r="L23" s="7" t="inlineStr">
        <is>
          <t>N</t>
        </is>
      </c>
      <c r="M23" s="7" t="inlineStr">
        <is>
          <t>Y</t>
        </is>
      </c>
      <c r="N23" s="7" t="inlineStr">
        <is>
          <t>531 – Real Estate (Mixed Use)</t>
        </is>
      </c>
      <c r="O23" s="7" t="inlineStr">
        <is>
          <t>Mixed Use</t>
        </is>
      </c>
      <c r="P23" s="29" t="n">
        <v>7800000</v>
      </c>
      <c r="Q23" s="30" t="n">
        <v>5800000</v>
      </c>
      <c r="R23" s="30" t="n">
        <v>1160000</v>
      </c>
      <c r="S23" s="30" t="n">
        <v>4640000</v>
      </c>
      <c r="T23" s="30" t="n">
        <v>4640000</v>
      </c>
      <c r="U23" s="30" t="n">
        <v>2262000</v>
      </c>
      <c r="V23" s="30" t="n">
        <v>1877460</v>
      </c>
      <c r="W23" s="30" t="n">
        <v>145000</v>
      </c>
      <c r="X23" s="30" t="n">
        <v>4762540</v>
      </c>
      <c r="Y23" s="29" t="n">
        <v>0</v>
      </c>
      <c r="Z23" s="30" t="n">
        <v>624000</v>
      </c>
      <c r="AA23" s="7" t="inlineStr"/>
      <c r="AB23" s="7" t="inlineStr"/>
      <c r="AC23" s="7" t="inlineStr">
        <is>
          <t>2025-12-15</t>
        </is>
      </c>
      <c r="AD23" s="29" t="n">
        <v>32</v>
      </c>
      <c r="AE23" s="29" t="n">
        <v>9</v>
      </c>
      <c r="AF23" s="29" t="n">
        <v>18</v>
      </c>
      <c r="AG23" s="29" t="n">
        <v>15000</v>
      </c>
    </row>
    <row r="24" ht="16" customHeight="1">
      <c r="A24" s="31" t="inlineStr">
        <is>
          <t>TOTALS</t>
        </is>
      </c>
      <c r="B24" s="31" t="inlineStr"/>
      <c r="C24" s="31" t="inlineStr">
        <is>
          <t>TOTAL (20 projects)</t>
        </is>
      </c>
      <c r="D24" s="31" t="inlineStr"/>
      <c r="E24" s="31" t="inlineStr"/>
      <c r="F24" s="31" t="inlineStr"/>
      <c r="G24" s="31" t="inlineStr"/>
      <c r="H24" s="31" t="inlineStr"/>
      <c r="I24" s="31" t="inlineStr"/>
      <c r="J24" s="31" t="inlineStr"/>
      <c r="K24" s="31" t="inlineStr"/>
      <c r="L24" s="31" t="inlineStr"/>
      <c r="M24" s="31" t="inlineStr"/>
      <c r="N24" s="31" t="inlineStr"/>
      <c r="O24" s="31" t="inlineStr"/>
      <c r="P24" s="32" t="n">
        <v>170600000</v>
      </c>
      <c r="Q24" s="33" t="n">
        <v>122500000</v>
      </c>
      <c r="R24" s="33" t="n">
        <v>24500000</v>
      </c>
      <c r="S24" s="33" t="n">
        <v>98000000</v>
      </c>
      <c r="T24" s="33" t="n">
        <v>98000000</v>
      </c>
      <c r="U24" s="33" t="n">
        <v>47775000</v>
      </c>
      <c r="V24" s="33" t="n">
        <v>39653250</v>
      </c>
      <c r="W24" s="33" t="n">
        <v>3062500</v>
      </c>
      <c r="X24" s="33" t="n">
        <v>106446750</v>
      </c>
      <c r="Y24" s="31" t="inlineStr"/>
      <c r="Z24" s="33" t="n">
        <v>13648000</v>
      </c>
      <c r="AA24" s="31" t="inlineStr"/>
      <c r="AB24" s="31" t="inlineStr"/>
      <c r="AC24" s="31" t="inlineStr"/>
      <c r="AD24" s="32" t="n">
        <v>864</v>
      </c>
      <c r="AE24" s="32" t="n">
        <v>298</v>
      </c>
      <c r="AF24" s="32" t="n">
        <v>234</v>
      </c>
      <c r="AG24" s="32" t="n">
        <v>198500</v>
      </c>
    </row>
  </sheetData>
  <autoFilter ref="A3:AG24"/>
  <mergeCells count="2">
    <mergeCell ref="A1:AG1"/>
    <mergeCell ref="A2:AG2"/>
  </mergeCells>
  <conditionalFormatting sqref="J4:J24">
    <cfRule type="cellIs" priority="1" operator="equal" dxfId="0">
      <formula>"Deep Distress"</formula>
    </cfRule>
    <cfRule type="cellIs" priority="2" operator="equal" dxfId="1">
      <formula>"Severely Distressed"</formula>
    </cfRule>
    <cfRule type="cellIs" priority="3" operator="equal" dxfId="2">
      <formula>"Non-LIC (Ineligible)"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9" customWidth="1" min="3" max="3"/>
    <col width="23" customWidth="1" min="4" max="4"/>
    <col width="16" customWidth="1" min="5" max="5"/>
    <col width="23" customWidth="1" min="6" max="6"/>
    <col width="27" customWidth="1" min="7" max="7"/>
    <col width="19" customWidth="1" min="8" max="8"/>
    <col width="29" customWidth="1" min="9" max="9"/>
    <col width="19" customWidth="1" min="10" max="10"/>
    <col width="19" customWidth="1" min="11" max="11"/>
    <col width="23" customWidth="1" min="12" max="12"/>
    <col width="24" customWidth="1" min="13" max="13"/>
    <col width="40" customWidth="1" min="14" max="14"/>
    <col width="33" customWidth="1" min="15" max="15"/>
  </cols>
  <sheetData>
    <row r="1" ht="24" customHeight="1">
      <c r="A1" s="25" t="inlineStr">
        <is>
          <t>Appendix B: Distress Documentation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Project ID</t>
        </is>
      </c>
      <c r="B3" s="14" t="inlineStr">
        <is>
          <t>Project Name</t>
        </is>
      </c>
      <c r="C3" s="14" t="inlineStr">
        <is>
          <t>City, State</t>
        </is>
      </c>
      <c r="D3" s="14" t="inlineStr">
        <is>
          <t>Census Tract (GEOID)</t>
        </is>
      </c>
      <c r="E3" s="14" t="inlineStr">
        <is>
          <t>NMTC Eligible</t>
        </is>
      </c>
      <c r="F3" s="14" t="inlineStr">
        <is>
          <t>Distress Level</t>
        </is>
      </c>
      <c r="G3" s="14" t="inlineStr">
        <is>
          <t>Severely Distressed Flag</t>
        </is>
      </c>
      <c r="H3" s="14" t="inlineStr">
        <is>
          <t>NMTC Native Area</t>
        </is>
      </c>
      <c r="I3" s="14" t="inlineStr">
        <is>
          <t>High Migration Rural (HMR)</t>
        </is>
      </c>
      <c r="J3" s="14" t="inlineStr">
        <is>
          <t>Opportunity Zone</t>
        </is>
      </c>
      <c r="K3" s="14" t="inlineStr">
        <is>
          <t>Poverty Rate (%)</t>
        </is>
      </c>
      <c r="L3" s="14" t="inlineStr">
        <is>
          <t>Median Family Income</t>
        </is>
      </c>
      <c r="M3" s="14" t="inlineStr">
        <is>
          <t>Unemployment Rate (%)</t>
        </is>
      </c>
      <c r="N3" s="14" t="inlineStr">
        <is>
          <t>Data Source</t>
        </is>
      </c>
      <c r="O3" s="14" t="inlineStr">
        <is>
          <t>ACS Vintage</t>
        </is>
      </c>
    </row>
    <row r="4" ht="16" customHeight="1">
      <c r="A4" s="5" t="inlineStr">
        <is>
          <t>PRJ-001</t>
        </is>
      </c>
      <c r="B4" s="5" t="inlineStr">
        <is>
          <t>Southside Community Health Center</t>
        </is>
      </c>
      <c r="C4" s="5" t="inlineStr">
        <is>
          <t>Chicago, IL</t>
        </is>
      </c>
      <c r="D4" s="5" t="inlineStr">
        <is>
          <t>17031838200</t>
        </is>
      </c>
      <c r="E4" s="5" t="inlineStr">
        <is>
          <t>Yes</t>
        </is>
      </c>
      <c r="F4" s="5" t="inlineStr">
        <is>
          <t>Deep Distress</t>
        </is>
      </c>
      <c r="G4" s="5" t="inlineStr">
        <is>
          <t>Yes</t>
        </is>
      </c>
      <c r="H4" s="5" t="inlineStr">
        <is>
          <t>No</t>
        </is>
      </c>
      <c r="I4" s="5" t="inlineStr">
        <is>
          <t>No</t>
        </is>
      </c>
      <c r="J4" s="5" t="inlineStr">
        <is>
          <t>No</t>
        </is>
      </c>
      <c r="K4" s="5" t="inlineStr">
        <is>
          <t>&gt; 30%</t>
        </is>
      </c>
      <c r="L4" s="5" t="inlineStr">
        <is>
          <t>See ACS</t>
        </is>
      </c>
      <c r="M4" s="5" t="inlineStr">
        <is>
          <t>See ACS</t>
        </is>
      </c>
      <c r="N4" s="5" t="inlineStr">
        <is>
          <t>CDFI Fund NMTC Eligibility Table (2016–2020 ACS)</t>
        </is>
      </c>
      <c r="O4" s="5" t="inlineStr">
        <is>
          <t>2016–2020 ACS 5-Year Estimates</t>
        </is>
      </c>
    </row>
    <row r="5" ht="16" customHeight="1">
      <c r="A5" s="7" t="inlineStr">
        <is>
          <t>PRJ-002</t>
        </is>
      </c>
      <c r="B5" s="7" t="inlineStr">
        <is>
          <t>East Houston Charter Academy</t>
        </is>
      </c>
      <c r="C5" s="7" t="inlineStr">
        <is>
          <t>Houston, TX</t>
        </is>
      </c>
      <c r="D5" s="7" t="inlineStr">
        <is>
          <t>48201223400</t>
        </is>
      </c>
      <c r="E5" s="7" t="inlineStr">
        <is>
          <t>Yes</t>
        </is>
      </c>
      <c r="F5" s="7" t="inlineStr">
        <is>
          <t>Deep Distress</t>
        </is>
      </c>
      <c r="G5" s="7" t="inlineStr">
        <is>
          <t>Yes</t>
        </is>
      </c>
      <c r="H5" s="7" t="inlineStr">
        <is>
          <t>No</t>
        </is>
      </c>
      <c r="I5" s="7" t="inlineStr">
        <is>
          <t>No</t>
        </is>
      </c>
      <c r="J5" s="7" t="inlineStr">
        <is>
          <t>Yes</t>
        </is>
      </c>
      <c r="K5" s="7" t="inlineStr">
        <is>
          <t>&gt; 30%</t>
        </is>
      </c>
      <c r="L5" s="7" t="inlineStr">
        <is>
          <t>See ACS</t>
        </is>
      </c>
      <c r="M5" s="7" t="inlineStr">
        <is>
          <t>See ACS</t>
        </is>
      </c>
      <c r="N5" s="7" t="inlineStr">
        <is>
          <t>CDFI Fund NMTC Eligibility Table (2016–2020 ACS)</t>
        </is>
      </c>
      <c r="O5" s="7" t="inlineStr">
        <is>
          <t>2016–2020 ACS 5-Year Estimates</t>
        </is>
      </c>
    </row>
    <row r="6" ht="16" customHeight="1">
      <c r="A6" s="5" t="inlineStr">
        <is>
          <t>PRJ-003</t>
        </is>
      </c>
      <c r="B6" s="5" t="inlineStr">
        <is>
          <t>Bronx Food Hub</t>
        </is>
      </c>
      <c r="C6" s="5" t="inlineStr">
        <is>
          <t>Bronx, NY</t>
        </is>
      </c>
      <c r="D6" s="5" t="inlineStr">
        <is>
          <t>36005035900</t>
        </is>
      </c>
      <c r="E6" s="5" t="inlineStr">
        <is>
          <t>Yes</t>
        </is>
      </c>
      <c r="F6" s="5" t="inlineStr">
        <is>
          <t>Severely Distressed</t>
        </is>
      </c>
      <c r="G6" s="5" t="inlineStr">
        <is>
          <t>Yes</t>
        </is>
      </c>
      <c r="H6" s="5" t="inlineStr">
        <is>
          <t>No</t>
        </is>
      </c>
      <c r="I6" s="5" t="inlineStr">
        <is>
          <t>No</t>
        </is>
      </c>
      <c r="J6" s="5" t="inlineStr">
        <is>
          <t>Yes</t>
        </is>
      </c>
      <c r="K6" s="5" t="inlineStr">
        <is>
          <t>&gt; 20%</t>
        </is>
      </c>
      <c r="L6" s="5" t="inlineStr">
        <is>
          <t>See ACS</t>
        </is>
      </c>
      <c r="M6" s="5" t="inlineStr">
        <is>
          <t>See ACS</t>
        </is>
      </c>
      <c r="N6" s="5" t="inlineStr">
        <is>
          <t>CDFI Fund NMTC Eligibility Table (2016–2020 ACS)</t>
        </is>
      </c>
      <c r="O6" s="5" t="inlineStr">
        <is>
          <t>2016–2020 ACS 5-Year Estimates</t>
        </is>
      </c>
    </row>
    <row r="7" ht="16" customHeight="1">
      <c r="A7" s="7" t="inlineStr">
        <is>
          <t>PRJ-004</t>
        </is>
      </c>
      <c r="B7" s="7" t="inlineStr">
        <is>
          <t>Watts Manufacturing Center</t>
        </is>
      </c>
      <c r="C7" s="7" t="inlineStr">
        <is>
          <t>Los Angeles, CA</t>
        </is>
      </c>
      <c r="D7" s="7" t="inlineStr">
        <is>
          <t>06037606200</t>
        </is>
      </c>
      <c r="E7" s="7" t="inlineStr">
        <is>
          <t>Yes</t>
        </is>
      </c>
      <c r="F7" s="7" t="inlineStr">
        <is>
          <t>Deep Distress</t>
        </is>
      </c>
      <c r="G7" s="7" t="inlineStr">
        <is>
          <t>Yes</t>
        </is>
      </c>
      <c r="H7" s="7" t="inlineStr">
        <is>
          <t>No</t>
        </is>
      </c>
      <c r="I7" s="7" t="inlineStr">
        <is>
          <t>No</t>
        </is>
      </c>
      <c r="J7" s="7" t="inlineStr">
        <is>
          <t>No</t>
        </is>
      </c>
      <c r="K7" s="7" t="inlineStr">
        <is>
          <t>&gt; 30%</t>
        </is>
      </c>
      <c r="L7" s="7" t="inlineStr">
        <is>
          <t>See ACS</t>
        </is>
      </c>
      <c r="M7" s="7" t="inlineStr">
        <is>
          <t>See ACS</t>
        </is>
      </c>
      <c r="N7" s="7" t="inlineStr">
        <is>
          <t>CDFI Fund NMTC Eligibility Table (2016–2020 ACS)</t>
        </is>
      </c>
      <c r="O7" s="7" t="inlineStr">
        <is>
          <t>2016–2020 ACS 5-Year Estimates</t>
        </is>
      </c>
    </row>
    <row r="8" ht="16" customHeight="1">
      <c r="A8" s="5" t="inlineStr">
        <is>
          <t>PRJ-005</t>
        </is>
      </c>
      <c r="B8" s="5" t="inlineStr">
        <is>
          <t>Cleveland Neighborhood Clinic</t>
        </is>
      </c>
      <c r="C8" s="5" t="inlineStr">
        <is>
          <t>Cleveland, OH</t>
        </is>
      </c>
      <c r="D8" s="5" t="inlineStr">
        <is>
          <t>39035103200</t>
        </is>
      </c>
      <c r="E8" s="5" t="inlineStr">
        <is>
          <t>Yes</t>
        </is>
      </c>
      <c r="F8" s="5" t="inlineStr">
        <is>
          <t>Deep Distress</t>
        </is>
      </c>
      <c r="G8" s="5" t="inlineStr">
        <is>
          <t>Yes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No</t>
        </is>
      </c>
      <c r="K8" s="5" t="inlineStr">
        <is>
          <t>&gt; 30%</t>
        </is>
      </c>
      <c r="L8" s="5" t="inlineStr">
        <is>
          <t>See ACS</t>
        </is>
      </c>
      <c r="M8" s="5" t="inlineStr">
        <is>
          <t>See ACS</t>
        </is>
      </c>
      <c r="N8" s="5" t="inlineStr">
        <is>
          <t>CDFI Fund NMTC Eligibility Table (2016–2020 ACS)</t>
        </is>
      </c>
      <c r="O8" s="5" t="inlineStr">
        <is>
          <t>2016–2020 ACS 5-Year Estimates</t>
        </is>
      </c>
    </row>
    <row r="9" ht="16" customHeight="1">
      <c r="A9" s="7" t="inlineStr">
        <is>
          <t>PRJ-006</t>
        </is>
      </c>
      <c r="B9" s="7" t="inlineStr">
        <is>
          <t>Atlanta Affordable Homes Phase II</t>
        </is>
      </c>
      <c r="C9" s="7" t="inlineStr">
        <is>
          <t>Atlanta, GA</t>
        </is>
      </c>
      <c r="D9" s="7" t="inlineStr">
        <is>
          <t>13121008700</t>
        </is>
      </c>
      <c r="E9" s="7" t="inlineStr">
        <is>
          <t>Yes</t>
        </is>
      </c>
      <c r="F9" s="7" t="inlineStr">
        <is>
          <t>Severely Distressed</t>
        </is>
      </c>
      <c r="G9" s="7" t="inlineStr">
        <is>
          <t>Yes</t>
        </is>
      </c>
      <c r="H9" s="7" t="inlineStr">
        <is>
          <t>No</t>
        </is>
      </c>
      <c r="I9" s="7" t="inlineStr">
        <is>
          <t>No</t>
        </is>
      </c>
      <c r="J9" s="7" t="inlineStr">
        <is>
          <t>Yes</t>
        </is>
      </c>
      <c r="K9" s="7" t="inlineStr">
        <is>
          <t>&gt; 20%</t>
        </is>
      </c>
      <c r="L9" s="7" t="inlineStr">
        <is>
          <t>See ACS</t>
        </is>
      </c>
      <c r="M9" s="7" t="inlineStr">
        <is>
          <t>See ACS</t>
        </is>
      </c>
      <c r="N9" s="7" t="inlineStr">
        <is>
          <t>CDFI Fund NMTC Eligibility Table (2016–2020 ACS)</t>
        </is>
      </c>
      <c r="O9" s="7" t="inlineStr">
        <is>
          <t>2016–2020 ACS 5-Year Estimates</t>
        </is>
      </c>
    </row>
    <row r="10" ht="16" customHeight="1">
      <c r="A10" s="5" t="inlineStr">
        <is>
          <t>PRJ-007</t>
        </is>
      </c>
      <c r="B10" s="5" t="inlineStr">
        <is>
          <t>Miami Community Resource Center</t>
        </is>
      </c>
      <c r="C10" s="5" t="inlineStr">
        <is>
          <t>Miami, FL</t>
        </is>
      </c>
      <c r="D10" s="5" t="inlineStr">
        <is>
          <t>12086000900</t>
        </is>
      </c>
      <c r="E10" s="5" t="inlineStr">
        <is>
          <t>Yes</t>
        </is>
      </c>
      <c r="F10" s="5" t="inlineStr">
        <is>
          <t>Low Income Community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No</t>
        </is>
      </c>
      <c r="J10" s="5" t="inlineStr">
        <is>
          <t>No</t>
        </is>
      </c>
      <c r="K10" s="5" t="inlineStr">
        <is>
          <t>&gt; 20%</t>
        </is>
      </c>
      <c r="L10" s="5" t="inlineStr">
        <is>
          <t>See ACS</t>
        </is>
      </c>
      <c r="M10" s="5" t="inlineStr">
        <is>
          <t>See ACS</t>
        </is>
      </c>
      <c r="N10" s="5" t="inlineStr">
        <is>
          <t>CDFI Fund NMTC Eligibility Table (2016–2020 ACS)</t>
        </is>
      </c>
      <c r="O10" s="5" t="inlineStr">
        <is>
          <t>2016–2020 ACS 5-Year Estimates</t>
        </is>
      </c>
    </row>
    <row r="11" ht="16" customHeight="1">
      <c r="A11" s="7" t="inlineStr">
        <is>
          <t>PRJ-008</t>
        </is>
      </c>
      <c r="B11" s="7" t="inlineStr">
        <is>
          <t>North Philadelphia Wellness Hub</t>
        </is>
      </c>
      <c r="C11" s="7" t="inlineStr">
        <is>
          <t>Philadelphia, PA</t>
        </is>
      </c>
      <c r="D11" s="7" t="inlineStr">
        <is>
          <t>42101017900</t>
        </is>
      </c>
      <c r="E11" s="7" t="inlineStr">
        <is>
          <t>Yes</t>
        </is>
      </c>
      <c r="F11" s="7" t="inlineStr">
        <is>
          <t>Deep Distress</t>
        </is>
      </c>
      <c r="G11" s="7" t="inlineStr">
        <is>
          <t>Yes</t>
        </is>
      </c>
      <c r="H11" s="7" t="inlineStr">
        <is>
          <t>No</t>
        </is>
      </c>
      <c r="I11" s="7" t="inlineStr">
        <is>
          <t>No</t>
        </is>
      </c>
      <c r="J11" s="7" t="inlineStr">
        <is>
          <t>No</t>
        </is>
      </c>
      <c r="K11" s="7" t="inlineStr">
        <is>
          <t>&gt; 30%</t>
        </is>
      </c>
      <c r="L11" s="7" t="inlineStr">
        <is>
          <t>See ACS</t>
        </is>
      </c>
      <c r="M11" s="7" t="inlineStr">
        <is>
          <t>See ACS</t>
        </is>
      </c>
      <c r="N11" s="7" t="inlineStr">
        <is>
          <t>CDFI Fund NMTC Eligibility Table (2016–2020 ACS)</t>
        </is>
      </c>
      <c r="O11" s="7" t="inlineStr">
        <is>
          <t>2016–2020 ACS 5-Year Estimates</t>
        </is>
      </c>
    </row>
    <row r="12" ht="16" customHeight="1">
      <c r="A12" s="5" t="inlineStr">
        <is>
          <t>PRJ-009</t>
        </is>
      </c>
      <c r="B12" s="5" t="inlineStr">
        <is>
          <t>New Orleans Culinary Arts Center</t>
        </is>
      </c>
      <c r="C12" s="5" t="inlineStr">
        <is>
          <t>New Orleans, LA</t>
        </is>
      </c>
      <c r="D12" s="5" t="inlineStr">
        <is>
          <t>22071008500</t>
        </is>
      </c>
      <c r="E12" s="5" t="inlineStr">
        <is>
          <t>Yes</t>
        </is>
      </c>
      <c r="F12" s="5" t="inlineStr">
        <is>
          <t>Deep Distress</t>
        </is>
      </c>
      <c r="G12" s="5" t="inlineStr">
        <is>
          <t>Yes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Yes</t>
        </is>
      </c>
      <c r="K12" s="5" t="inlineStr">
        <is>
          <t>&gt; 30%</t>
        </is>
      </c>
      <c r="L12" s="5" t="inlineStr">
        <is>
          <t>See ACS</t>
        </is>
      </c>
      <c r="M12" s="5" t="inlineStr">
        <is>
          <t>See ACS</t>
        </is>
      </c>
      <c r="N12" s="5" t="inlineStr">
        <is>
          <t>CDFI Fund NMTC Eligibility Table (2016–2020 ACS)</t>
        </is>
      </c>
      <c r="O12" s="5" t="inlineStr">
        <is>
          <t>2016–2020 ACS 5-Year Estimates</t>
        </is>
      </c>
    </row>
    <row r="13" ht="16" customHeight="1">
      <c r="A13" s="7" t="inlineStr">
        <is>
          <t>PRJ-010</t>
        </is>
      </c>
      <c r="B13" s="7" t="inlineStr">
        <is>
          <t>Memphis Small Business Incubator</t>
        </is>
      </c>
      <c r="C13" s="7" t="inlineStr">
        <is>
          <t>Memphis, TN</t>
        </is>
      </c>
      <c r="D13" s="7" t="inlineStr">
        <is>
          <t>47157002400</t>
        </is>
      </c>
      <c r="E13" s="7" t="inlineStr">
        <is>
          <t>Yes</t>
        </is>
      </c>
      <c r="F13" s="7" t="inlineStr">
        <is>
          <t>Deep Distress</t>
        </is>
      </c>
      <c r="G13" s="7" t="inlineStr">
        <is>
          <t>Yes</t>
        </is>
      </c>
      <c r="H13" s="7" t="inlineStr">
        <is>
          <t>No</t>
        </is>
      </c>
      <c r="I13" s="7" t="inlineStr">
        <is>
          <t>No</t>
        </is>
      </c>
      <c r="J13" s="7" t="inlineStr">
        <is>
          <t>No</t>
        </is>
      </c>
      <c r="K13" s="7" t="inlineStr">
        <is>
          <t>&gt; 30%</t>
        </is>
      </c>
      <c r="L13" s="7" t="inlineStr">
        <is>
          <t>See ACS</t>
        </is>
      </c>
      <c r="M13" s="7" t="inlineStr">
        <is>
          <t>See ACS</t>
        </is>
      </c>
      <c r="N13" s="7" t="inlineStr">
        <is>
          <t>CDFI Fund NMTC Eligibility Table (2016–2020 ACS)</t>
        </is>
      </c>
      <c r="O13" s="7" t="inlineStr">
        <is>
          <t>2016–2020 ACS 5-Year Estimates</t>
        </is>
      </c>
    </row>
    <row r="14" ht="16" customHeight="1">
      <c r="A14" s="5" t="inlineStr">
        <is>
          <t>PRJ-011</t>
        </is>
      </c>
      <c r="B14" s="5" t="inlineStr">
        <is>
          <t>Milwaukee Affordable Apartments</t>
        </is>
      </c>
      <c r="C14" s="5" t="inlineStr">
        <is>
          <t>Milwaukee, WI</t>
        </is>
      </c>
      <c r="D14" s="5" t="inlineStr">
        <is>
          <t>55079141700</t>
        </is>
      </c>
      <c r="E14" s="5" t="inlineStr">
        <is>
          <t>Yes</t>
        </is>
      </c>
      <c r="F14" s="5" t="inlineStr">
        <is>
          <t>Severely Distressed</t>
        </is>
      </c>
      <c r="G14" s="5" t="inlineStr">
        <is>
          <t>Yes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No</t>
        </is>
      </c>
      <c r="K14" s="5" t="inlineStr">
        <is>
          <t>&gt; 20%</t>
        </is>
      </c>
      <c r="L14" s="5" t="inlineStr">
        <is>
          <t>See ACS</t>
        </is>
      </c>
      <c r="M14" s="5" t="inlineStr">
        <is>
          <t>See ACS</t>
        </is>
      </c>
      <c r="N14" s="5" t="inlineStr">
        <is>
          <t>CDFI Fund NMTC Eligibility Table (2016–2020 ACS)</t>
        </is>
      </c>
      <c r="O14" s="5" t="inlineStr">
        <is>
          <t>2016–2020 ACS 5-Year Estimates</t>
        </is>
      </c>
    </row>
    <row r="15" ht="16" customHeight="1">
      <c r="A15" s="7" t="inlineStr">
        <is>
          <t>PRJ-012</t>
        </is>
      </c>
      <c r="B15" s="7" t="inlineStr">
        <is>
          <t>St. Louis Community Solar Project</t>
        </is>
      </c>
      <c r="C15" s="7" t="inlineStr">
        <is>
          <t>St. Louis, MO</t>
        </is>
      </c>
      <c r="D15" s="7" t="inlineStr">
        <is>
          <t>29510109500</t>
        </is>
      </c>
      <c r="E15" s="7" t="inlineStr">
        <is>
          <t>Yes</t>
        </is>
      </c>
      <c r="F15" s="7" t="inlineStr">
        <is>
          <t>Low Income Community</t>
        </is>
      </c>
      <c r="G15" s="7" t="inlineStr">
        <is>
          <t>No</t>
        </is>
      </c>
      <c r="H15" s="7" t="inlineStr">
        <is>
          <t>No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&gt; 20%</t>
        </is>
      </c>
      <c r="L15" s="7" t="inlineStr">
        <is>
          <t>See ACS</t>
        </is>
      </c>
      <c r="M15" s="7" t="inlineStr">
        <is>
          <t>See ACS</t>
        </is>
      </c>
      <c r="N15" s="7" t="inlineStr">
        <is>
          <t>CDFI Fund NMTC Eligibility Table (2016–2020 ACS)</t>
        </is>
      </c>
      <c r="O15" s="7" t="inlineStr">
        <is>
          <t>2016–2020 ACS 5-Year Estimates</t>
        </is>
      </c>
    </row>
    <row r="16" ht="16" customHeight="1">
      <c r="A16" s="5" t="inlineStr">
        <is>
          <t>PRJ-013</t>
        </is>
      </c>
      <c r="B16" s="5" t="inlineStr">
        <is>
          <t>Charlotte Workforce Training Center</t>
        </is>
      </c>
      <c r="C16" s="5" t="inlineStr">
        <is>
          <t>Charlotte, NC</t>
        </is>
      </c>
      <c r="D16" s="5" t="inlineStr">
        <is>
          <t>37119001900</t>
        </is>
      </c>
      <c r="E16" s="5" t="inlineStr">
        <is>
          <t>Yes</t>
        </is>
      </c>
      <c r="F16" s="5" t="inlineStr">
        <is>
          <t>Deep Distress</t>
        </is>
      </c>
      <c r="G16" s="5" t="inlineStr">
        <is>
          <t>Yes</t>
        </is>
      </c>
      <c r="H16" s="5" t="inlineStr">
        <is>
          <t>No</t>
        </is>
      </c>
      <c r="I16" s="5" t="inlineStr">
        <is>
          <t>No</t>
        </is>
      </c>
      <c r="J16" s="5" t="inlineStr">
        <is>
          <t>No</t>
        </is>
      </c>
      <c r="K16" s="5" t="inlineStr">
        <is>
          <t>&gt; 30%</t>
        </is>
      </c>
      <c r="L16" s="5" t="inlineStr">
        <is>
          <t>See ACS</t>
        </is>
      </c>
      <c r="M16" s="5" t="inlineStr">
        <is>
          <t>See ACS</t>
        </is>
      </c>
      <c r="N16" s="5" t="inlineStr">
        <is>
          <t>CDFI Fund NMTC Eligibility Table (2016–2020 ACS)</t>
        </is>
      </c>
      <c r="O16" s="5" t="inlineStr">
        <is>
          <t>2016–2020 ACS 5-Year Estimates</t>
        </is>
      </c>
    </row>
    <row r="17" ht="16" customHeight="1">
      <c r="A17" s="7" t="inlineStr">
        <is>
          <t>PRJ-014</t>
        </is>
      </c>
      <c r="B17" s="7" t="inlineStr">
        <is>
          <t>Phoenix Native American Health Clinic</t>
        </is>
      </c>
      <c r="C17" s="7" t="inlineStr">
        <is>
          <t>Phoenix, AZ</t>
        </is>
      </c>
      <c r="D17" s="7" t="inlineStr">
        <is>
          <t>04013118400</t>
        </is>
      </c>
      <c r="E17" s="7" t="inlineStr">
        <is>
          <t>Yes</t>
        </is>
      </c>
      <c r="F17" s="7" t="inlineStr">
        <is>
          <t>Deep Distress</t>
        </is>
      </c>
      <c r="G17" s="7" t="inlineStr">
        <is>
          <t>Yes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No</t>
        </is>
      </c>
      <c r="K17" s="7" t="inlineStr">
        <is>
          <t>&gt; 30%</t>
        </is>
      </c>
      <c r="L17" s="7" t="inlineStr">
        <is>
          <t>See ACS</t>
        </is>
      </c>
      <c r="M17" s="7" t="inlineStr">
        <is>
          <t>See ACS</t>
        </is>
      </c>
      <c r="N17" s="7" t="inlineStr">
        <is>
          <t>CDFI Fund NMTC Eligibility Table (2016–2020 ACS)</t>
        </is>
      </c>
      <c r="O17" s="7" t="inlineStr">
        <is>
          <t>2016–2020 ACS 5-Year Estimates</t>
        </is>
      </c>
    </row>
    <row r="18" ht="16" customHeight="1">
      <c r="A18" s="5" t="inlineStr">
        <is>
          <t>PRJ-015</t>
        </is>
      </c>
      <c r="B18" s="5" t="inlineStr">
        <is>
          <t>Detroit Auto Parts Manufacturer</t>
        </is>
      </c>
      <c r="C18" s="5" t="inlineStr">
        <is>
          <t>Detroit, MI</t>
        </is>
      </c>
      <c r="D18" s="5" t="inlineStr">
        <is>
          <t>26163527900</t>
        </is>
      </c>
      <c r="E18" s="5" t="inlineStr">
        <is>
          <t>Yes</t>
        </is>
      </c>
      <c r="F18" s="5" t="inlineStr">
        <is>
          <t>Deep Distress</t>
        </is>
      </c>
      <c r="G18" s="5" t="inlineStr">
        <is>
          <t>Yes</t>
        </is>
      </c>
      <c r="H18" s="5" t="inlineStr">
        <is>
          <t>No</t>
        </is>
      </c>
      <c r="I18" s="5" t="inlineStr">
        <is>
          <t>No</t>
        </is>
      </c>
      <c r="J18" s="5" t="inlineStr">
        <is>
          <t>Yes</t>
        </is>
      </c>
      <c r="K18" s="5" t="inlineStr">
        <is>
          <t>&gt; 30%</t>
        </is>
      </c>
      <c r="L18" s="5" t="inlineStr">
        <is>
          <t>See ACS</t>
        </is>
      </c>
      <c r="M18" s="5" t="inlineStr">
        <is>
          <t>See ACS</t>
        </is>
      </c>
      <c r="N18" s="5" t="inlineStr">
        <is>
          <t>CDFI Fund NMTC Eligibility Table (2016–2020 ACS)</t>
        </is>
      </c>
      <c r="O18" s="5" t="inlineStr">
        <is>
          <t>2016–2020 ACS 5-Year Estimates</t>
        </is>
      </c>
    </row>
    <row r="19" ht="16" customHeight="1">
      <c r="A19" s="7" t="inlineStr">
        <is>
          <t>PRJ-016</t>
        </is>
      </c>
      <c r="B19" s="7" t="inlineStr">
        <is>
          <t>Indianapolis Mixed-Use Community Hub</t>
        </is>
      </c>
      <c r="C19" s="7" t="inlineStr">
        <is>
          <t>Indianapolis, IN</t>
        </is>
      </c>
      <c r="D19" s="7" t="inlineStr">
        <is>
          <t>18097350200</t>
        </is>
      </c>
      <c r="E19" s="7" t="inlineStr">
        <is>
          <t>Yes</t>
        </is>
      </c>
      <c r="F19" s="7" t="inlineStr">
        <is>
          <t>Severely Distressed</t>
        </is>
      </c>
      <c r="G19" s="7" t="inlineStr">
        <is>
          <t>Yes</t>
        </is>
      </c>
      <c r="H19" s="7" t="inlineStr">
        <is>
          <t>No</t>
        </is>
      </c>
      <c r="I19" s="7" t="inlineStr">
        <is>
          <t>No</t>
        </is>
      </c>
      <c r="J19" s="7" t="inlineStr">
        <is>
          <t>No</t>
        </is>
      </c>
      <c r="K19" s="7" t="inlineStr">
        <is>
          <t>&gt; 20%</t>
        </is>
      </c>
      <c r="L19" s="7" t="inlineStr">
        <is>
          <t>See ACS</t>
        </is>
      </c>
      <c r="M19" s="7" t="inlineStr">
        <is>
          <t>See ACS</t>
        </is>
      </c>
      <c r="N19" s="7" t="inlineStr">
        <is>
          <t>CDFI Fund NMTC Eligibility Table (2016–2020 ACS)</t>
        </is>
      </c>
      <c r="O19" s="7" t="inlineStr">
        <is>
          <t>2016–2020 ACS 5-Year Estimates</t>
        </is>
      </c>
    </row>
    <row r="20" ht="16" customHeight="1">
      <c r="A20" s="5" t="inlineStr">
        <is>
          <t>PRJ-017</t>
        </is>
      </c>
      <c r="B20" s="5" t="inlineStr">
        <is>
          <t>Rural Mississippi Health Access Center</t>
        </is>
      </c>
      <c r="C20" s="5" t="inlineStr">
        <is>
          <t>Greenville, MS</t>
        </is>
      </c>
      <c r="D20" s="5" t="inlineStr">
        <is>
          <t>28065950100</t>
        </is>
      </c>
      <c r="E20" s="5" t="inlineStr">
        <is>
          <t>Yes</t>
        </is>
      </c>
      <c r="F20" s="5" t="inlineStr">
        <is>
          <t>Deep Distress</t>
        </is>
      </c>
      <c r="G20" s="5" t="inlineStr">
        <is>
          <t>Yes</t>
        </is>
      </c>
      <c r="H20" s="5" t="inlineStr">
        <is>
          <t>No</t>
        </is>
      </c>
      <c r="I20" s="5" t="inlineStr">
        <is>
          <t>Yes</t>
        </is>
      </c>
      <c r="J20" s="5" t="inlineStr">
        <is>
          <t>No</t>
        </is>
      </c>
      <c r="K20" s="5" t="inlineStr">
        <is>
          <t>&gt; 30%</t>
        </is>
      </c>
      <c r="L20" s="5" t="inlineStr">
        <is>
          <t>See ACS</t>
        </is>
      </c>
      <c r="M20" s="5" t="inlineStr">
        <is>
          <t>See ACS</t>
        </is>
      </c>
      <c r="N20" s="5" t="inlineStr">
        <is>
          <t>CDFI Fund NMTC Eligibility Table (2016–2020 ACS)</t>
        </is>
      </c>
      <c r="O20" s="5" t="inlineStr">
        <is>
          <t>2016–2020 ACS 5-Year Estimates</t>
        </is>
      </c>
    </row>
    <row r="21" ht="16" customHeight="1">
      <c r="A21" s="7" t="inlineStr">
        <is>
          <t>PRJ-018</t>
        </is>
      </c>
      <c r="B21" s="7" t="inlineStr">
        <is>
          <t>Kansas City Affordable Senior Housing</t>
        </is>
      </c>
      <c r="C21" s="7" t="inlineStr">
        <is>
          <t>Kansas City, KS</t>
        </is>
      </c>
      <c r="D21" s="7" t="inlineStr">
        <is>
          <t>20091000100</t>
        </is>
      </c>
      <c r="E21" s="7" t="inlineStr">
        <is>
          <t>Yes</t>
        </is>
      </c>
      <c r="F21" s="7" t="inlineStr">
        <is>
          <t>Low Income Community</t>
        </is>
      </c>
      <c r="G21" s="7" t="inlineStr">
        <is>
          <t>No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No</t>
        </is>
      </c>
      <c r="K21" s="7" t="inlineStr">
        <is>
          <t>&gt; 20%</t>
        </is>
      </c>
      <c r="L21" s="7" t="inlineStr">
        <is>
          <t>See ACS</t>
        </is>
      </c>
      <c r="M21" s="7" t="inlineStr">
        <is>
          <t>See ACS</t>
        </is>
      </c>
      <c r="N21" s="7" t="inlineStr">
        <is>
          <t>CDFI Fund NMTC Eligibility Table (2016–2020 ACS)</t>
        </is>
      </c>
      <c r="O21" s="7" t="inlineStr">
        <is>
          <t>2016–2020 ACS 5-Year Estimates</t>
        </is>
      </c>
    </row>
    <row r="22" ht="16" customHeight="1">
      <c r="A22" s="5" t="inlineStr">
        <is>
          <t>PRJ-019</t>
        </is>
      </c>
      <c r="B22" s="5" t="inlineStr">
        <is>
          <t>Baltimore Community Food Market</t>
        </is>
      </c>
      <c r="C22" s="5" t="inlineStr">
        <is>
          <t>Baltimore, MD</t>
        </is>
      </c>
      <c r="D22" s="5" t="inlineStr">
        <is>
          <t>24510050200</t>
        </is>
      </c>
      <c r="E22" s="5" t="inlineStr">
        <is>
          <t>Yes</t>
        </is>
      </c>
      <c r="F22" s="5" t="inlineStr">
        <is>
          <t>Severely Distressed</t>
        </is>
      </c>
      <c r="G22" s="5" t="inlineStr">
        <is>
          <t>Yes</t>
        </is>
      </c>
      <c r="H22" s="5" t="inlineStr">
        <is>
          <t>No</t>
        </is>
      </c>
      <c r="I22" s="5" t="inlineStr">
        <is>
          <t>No</t>
        </is>
      </c>
      <c r="J22" s="5" t="inlineStr">
        <is>
          <t>No</t>
        </is>
      </c>
      <c r="K22" s="5" t="inlineStr">
        <is>
          <t>&gt; 20%</t>
        </is>
      </c>
      <c r="L22" s="5" t="inlineStr">
        <is>
          <t>See ACS</t>
        </is>
      </c>
      <c r="M22" s="5" t="inlineStr">
        <is>
          <t>See ACS</t>
        </is>
      </c>
      <c r="N22" s="5" t="inlineStr">
        <is>
          <t>CDFI Fund NMTC Eligibility Table (2016–2020 ACS)</t>
        </is>
      </c>
      <c r="O22" s="5" t="inlineStr">
        <is>
          <t>2016–2020 ACS 5-Year Estimates</t>
        </is>
      </c>
    </row>
    <row r="23" ht="16" customHeight="1">
      <c r="A23" s="7" t="inlineStr">
        <is>
          <t>PRJ-020</t>
        </is>
      </c>
      <c r="B23" s="7" t="inlineStr">
        <is>
          <t>Albuquerque Mixed-Use Arts District</t>
        </is>
      </c>
      <c r="C23" s="7" t="inlineStr">
        <is>
          <t>Albuquerque, NM</t>
        </is>
      </c>
      <c r="D23" s="7" t="inlineStr">
        <is>
          <t>35001000900</t>
        </is>
      </c>
      <c r="E23" s="7" t="inlineStr">
        <is>
          <t>Yes</t>
        </is>
      </c>
      <c r="F23" s="7" t="inlineStr">
        <is>
          <t>Deep Distress</t>
        </is>
      </c>
      <c r="G23" s="7" t="inlineStr">
        <is>
          <t>Yes</t>
        </is>
      </c>
      <c r="H23" s="7" t="inlineStr">
        <is>
          <t>Yes</t>
        </is>
      </c>
      <c r="I23" s="7" t="inlineStr">
        <is>
          <t>No</t>
        </is>
      </c>
      <c r="J23" s="7" t="inlineStr">
        <is>
          <t>Yes</t>
        </is>
      </c>
      <c r="K23" s="7" t="inlineStr">
        <is>
          <t>&gt; 30%</t>
        </is>
      </c>
      <c r="L23" s="7" t="inlineStr">
        <is>
          <t>See ACS</t>
        </is>
      </c>
      <c r="M23" s="7" t="inlineStr">
        <is>
          <t>See ACS</t>
        </is>
      </c>
      <c r="N23" s="7" t="inlineStr">
        <is>
          <t>CDFI Fund NMTC Eligibility Table (2016–2020 ACS)</t>
        </is>
      </c>
      <c r="O23" s="7" t="inlineStr">
        <is>
          <t>2016–2020 ACS 5-Year Estimates</t>
        </is>
      </c>
    </row>
    <row r="24" ht="16" customHeight="1">
      <c r="A24" s="31" t="inlineStr">
        <is>
          <t>SUMMARY</t>
        </is>
      </c>
      <c r="B24" s="31" t="inlineStr">
        <is>
          <t>20 total projects</t>
        </is>
      </c>
      <c r="C24" s="31" t="inlineStr"/>
      <c r="D24" s="31" t="inlineStr"/>
      <c r="E24" s="31" t="inlineStr">
        <is>
          <t>20/20</t>
        </is>
      </c>
      <c r="F24" s="31" t="inlineStr"/>
      <c r="G24" s="31" t="inlineStr">
        <is>
          <t>17/20 (85%)</t>
        </is>
      </c>
      <c r="H24" s="31" t="inlineStr">
        <is>
          <t>2/20</t>
        </is>
      </c>
      <c r="I24" s="31" t="inlineStr"/>
      <c r="J24" s="31" t="inlineStr"/>
      <c r="K24" s="31" t="inlineStr"/>
      <c r="L24" s="31" t="inlineStr"/>
      <c r="M24" s="31" t="inlineStr"/>
      <c r="N24" s="31" t="inlineStr"/>
      <c r="O24" s="31" t="inlineStr"/>
    </row>
  </sheetData>
  <autoFilter ref="A3:O24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23" customWidth="1" min="4" max="4"/>
    <col width="23" customWidth="1" min="5" max="5"/>
    <col width="23" customWidth="1" min="6" max="6"/>
    <col width="15" customWidth="1" min="7" max="7"/>
    <col width="14" customWidth="1" min="8" max="8"/>
  </cols>
  <sheetData>
    <row r="1" ht="24" customHeight="1">
      <c r="A1" s="25" t="inlineStr">
        <is>
          <t>Appendix C: Geographic Targeting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State</t>
        </is>
      </c>
      <c r="B3" s="14" t="inlineStr">
        <is>
          <t>Project Count</t>
        </is>
      </c>
      <c r="C3" s="14" t="inlineStr">
        <is>
          <t>QEI ($)</t>
        </is>
      </c>
      <c r="D3" s="14" t="inlineStr">
        <is>
          <t>QEI (% of Total)</t>
        </is>
      </c>
      <c r="E3" s="14" t="inlineStr">
        <is>
          <t>Deep/Severe Projects</t>
        </is>
      </c>
      <c r="F3" s="14" t="inlineStr">
        <is>
          <t>Native Area Projects</t>
        </is>
      </c>
      <c r="G3" s="14" t="inlineStr">
        <is>
          <t>HMR Projects</t>
        </is>
      </c>
      <c r="H3" s="14" t="inlineStr">
        <is>
          <t>OZ Projects</t>
        </is>
      </c>
    </row>
    <row r="4" ht="16" customHeight="1">
      <c r="A4" s="5" t="inlineStr">
        <is>
          <t>AZ</t>
        </is>
      </c>
      <c r="B4" s="27" t="n">
        <v>1</v>
      </c>
      <c r="C4" s="28" t="n">
        <v>6500000</v>
      </c>
      <c r="D4" s="27" t="n">
        <v>0.05306122448979592</v>
      </c>
      <c r="E4" s="27" t="n">
        <v>1</v>
      </c>
      <c r="F4" s="27" t="n">
        <v>1</v>
      </c>
      <c r="G4" s="27" t="n">
        <v>0</v>
      </c>
      <c r="H4" s="27" t="n">
        <v>0</v>
      </c>
    </row>
    <row r="5" ht="16" customHeight="1">
      <c r="A5" s="7" t="inlineStr">
        <is>
          <t>CA</t>
        </is>
      </c>
      <c r="B5" s="29" t="n">
        <v>1</v>
      </c>
      <c r="C5" s="30" t="n">
        <v>4500000</v>
      </c>
      <c r="D5" s="29" t="n">
        <v>0.03673469387755102</v>
      </c>
      <c r="E5" s="29" t="n">
        <v>1</v>
      </c>
      <c r="F5" s="29" t="n">
        <v>0</v>
      </c>
      <c r="G5" s="29" t="n">
        <v>0</v>
      </c>
      <c r="H5" s="29" t="n">
        <v>0</v>
      </c>
    </row>
    <row r="6" ht="16" customHeight="1">
      <c r="A6" s="5" t="inlineStr">
        <is>
          <t>FL</t>
        </is>
      </c>
      <c r="B6" s="27" t="n">
        <v>1</v>
      </c>
      <c r="C6" s="28" t="n">
        <v>4000000</v>
      </c>
      <c r="D6" s="27" t="n">
        <v>0.0326530612244898</v>
      </c>
      <c r="E6" s="27" t="n">
        <v>0</v>
      </c>
      <c r="F6" s="27" t="n">
        <v>0</v>
      </c>
      <c r="G6" s="27" t="n">
        <v>0</v>
      </c>
      <c r="H6" s="27" t="n">
        <v>0</v>
      </c>
    </row>
    <row r="7" ht="16" customHeight="1">
      <c r="A7" s="7" t="inlineStr">
        <is>
          <t>GA</t>
        </is>
      </c>
      <c r="B7" s="29" t="n">
        <v>1</v>
      </c>
      <c r="C7" s="30" t="n">
        <v>9000000</v>
      </c>
      <c r="D7" s="29" t="n">
        <v>0.07346938775510205</v>
      </c>
      <c r="E7" s="29" t="n">
        <v>1</v>
      </c>
      <c r="F7" s="29" t="n">
        <v>0</v>
      </c>
      <c r="G7" s="29" t="n">
        <v>0</v>
      </c>
      <c r="H7" s="29" t="n">
        <v>1</v>
      </c>
    </row>
    <row r="8" ht="16" customHeight="1">
      <c r="A8" s="5" t="inlineStr">
        <is>
          <t>IL</t>
        </is>
      </c>
      <c r="B8" s="27" t="n">
        <v>1</v>
      </c>
      <c r="C8" s="28" t="n">
        <v>8500000</v>
      </c>
      <c r="D8" s="27" t="n">
        <v>0.06938775510204082</v>
      </c>
      <c r="E8" s="27" t="n">
        <v>1</v>
      </c>
      <c r="F8" s="27" t="n">
        <v>0</v>
      </c>
      <c r="G8" s="27" t="n">
        <v>0</v>
      </c>
      <c r="H8" s="27" t="n">
        <v>0</v>
      </c>
    </row>
    <row r="9" ht="16" customHeight="1">
      <c r="A9" s="7" t="inlineStr">
        <is>
          <t>IN</t>
        </is>
      </c>
      <c r="B9" s="29" t="n">
        <v>1</v>
      </c>
      <c r="C9" s="30" t="n">
        <v>7500000</v>
      </c>
      <c r="D9" s="29" t="n">
        <v>0.06122448979591837</v>
      </c>
      <c r="E9" s="29" t="n">
        <v>1</v>
      </c>
      <c r="F9" s="29" t="n">
        <v>0</v>
      </c>
      <c r="G9" s="29" t="n">
        <v>0</v>
      </c>
      <c r="H9" s="29" t="n">
        <v>0</v>
      </c>
    </row>
    <row r="10" ht="16" customHeight="1">
      <c r="A10" s="5" t="inlineStr">
        <is>
          <t>KS</t>
        </is>
      </c>
      <c r="B10" s="27" t="n">
        <v>1</v>
      </c>
      <c r="C10" s="28" t="n">
        <v>8500000</v>
      </c>
      <c r="D10" s="27" t="n">
        <v>0.06938775510204082</v>
      </c>
      <c r="E10" s="27" t="n">
        <v>0</v>
      </c>
      <c r="F10" s="27" t="n">
        <v>0</v>
      </c>
      <c r="G10" s="27" t="n">
        <v>0</v>
      </c>
      <c r="H10" s="27" t="n">
        <v>0</v>
      </c>
    </row>
    <row r="11" ht="16" customHeight="1">
      <c r="A11" s="7" t="inlineStr">
        <is>
          <t>LA</t>
        </is>
      </c>
      <c r="B11" s="29" t="n">
        <v>1</v>
      </c>
      <c r="C11" s="30" t="n">
        <v>6000000</v>
      </c>
      <c r="D11" s="29" t="n">
        <v>0.04897959183673469</v>
      </c>
      <c r="E11" s="29" t="n">
        <v>1</v>
      </c>
      <c r="F11" s="29" t="n">
        <v>0</v>
      </c>
      <c r="G11" s="29" t="n">
        <v>0</v>
      </c>
      <c r="H11" s="29" t="n">
        <v>1</v>
      </c>
    </row>
    <row r="12" ht="16" customHeight="1">
      <c r="A12" s="5" t="inlineStr">
        <is>
          <t>MD</t>
        </is>
      </c>
      <c r="B12" s="27" t="n">
        <v>1</v>
      </c>
      <c r="C12" s="28" t="n">
        <v>4200000</v>
      </c>
      <c r="D12" s="27" t="n">
        <v>0.03428571428571429</v>
      </c>
      <c r="E12" s="27" t="n">
        <v>1</v>
      </c>
      <c r="F12" s="27" t="n">
        <v>0</v>
      </c>
      <c r="G12" s="27" t="n">
        <v>0</v>
      </c>
      <c r="H12" s="27" t="n">
        <v>0</v>
      </c>
    </row>
    <row r="13" ht="16" customHeight="1">
      <c r="A13" s="7" t="inlineStr">
        <is>
          <t>MI</t>
        </is>
      </c>
      <c r="B13" s="29" t="n">
        <v>1</v>
      </c>
      <c r="C13" s="30" t="n">
        <v>5000000</v>
      </c>
      <c r="D13" s="29" t="n">
        <v>0.04081632653061224</v>
      </c>
      <c r="E13" s="29" t="n">
        <v>1</v>
      </c>
      <c r="F13" s="29" t="n">
        <v>0</v>
      </c>
      <c r="G13" s="29" t="n">
        <v>0</v>
      </c>
      <c r="H13" s="29" t="n">
        <v>1</v>
      </c>
    </row>
    <row r="14" ht="16" customHeight="1">
      <c r="A14" s="5" t="inlineStr">
        <is>
          <t>MO</t>
        </is>
      </c>
      <c r="B14" s="27" t="n">
        <v>1</v>
      </c>
      <c r="C14" s="28" t="n">
        <v>3800000</v>
      </c>
      <c r="D14" s="27" t="n">
        <v>0.03102040816326531</v>
      </c>
      <c r="E14" s="27" t="n">
        <v>0</v>
      </c>
      <c r="F14" s="27" t="n">
        <v>0</v>
      </c>
      <c r="G14" s="27" t="n">
        <v>0</v>
      </c>
      <c r="H14" s="27" t="n">
        <v>1</v>
      </c>
    </row>
    <row r="15" ht="16" customHeight="1">
      <c r="A15" s="7" t="inlineStr">
        <is>
          <t>MS</t>
        </is>
      </c>
      <c r="B15" s="29" t="n">
        <v>1</v>
      </c>
      <c r="C15" s="30" t="n">
        <v>3200000</v>
      </c>
      <c r="D15" s="29" t="n">
        <v>0.02612244897959184</v>
      </c>
      <c r="E15" s="29" t="n">
        <v>1</v>
      </c>
      <c r="F15" s="29" t="n">
        <v>0</v>
      </c>
      <c r="G15" s="29" t="n">
        <v>1</v>
      </c>
      <c r="H15" s="29" t="n">
        <v>0</v>
      </c>
    </row>
    <row r="16" ht="16" customHeight="1">
      <c r="A16" s="5" t="inlineStr">
        <is>
          <t>NC</t>
        </is>
      </c>
      <c r="B16" s="27" t="n">
        <v>1</v>
      </c>
      <c r="C16" s="28" t="n">
        <v>5500000</v>
      </c>
      <c r="D16" s="27" t="n">
        <v>0.04489795918367347</v>
      </c>
      <c r="E16" s="27" t="n">
        <v>1</v>
      </c>
      <c r="F16" s="27" t="n">
        <v>0</v>
      </c>
      <c r="G16" s="27" t="n">
        <v>0</v>
      </c>
      <c r="H16" s="27" t="n">
        <v>0</v>
      </c>
    </row>
    <row r="17" ht="16" customHeight="1">
      <c r="A17" s="7" t="inlineStr">
        <is>
          <t>NM</t>
        </is>
      </c>
      <c r="B17" s="29" t="n">
        <v>1</v>
      </c>
      <c r="C17" s="30" t="n">
        <v>5800000</v>
      </c>
      <c r="D17" s="29" t="n">
        <v>0.0473469387755102</v>
      </c>
      <c r="E17" s="29" t="n">
        <v>1</v>
      </c>
      <c r="F17" s="29" t="n">
        <v>1</v>
      </c>
      <c r="G17" s="29" t="n">
        <v>0</v>
      </c>
      <c r="H17" s="29" t="n">
        <v>1</v>
      </c>
    </row>
    <row r="18" ht="16" customHeight="1">
      <c r="A18" s="5" t="inlineStr">
        <is>
          <t>NY</t>
        </is>
      </c>
      <c r="B18" s="27" t="n">
        <v>1</v>
      </c>
      <c r="C18" s="28" t="n">
        <v>5000000</v>
      </c>
      <c r="D18" s="27" t="n">
        <v>0.04081632653061224</v>
      </c>
      <c r="E18" s="27" t="n">
        <v>1</v>
      </c>
      <c r="F18" s="27" t="n">
        <v>0</v>
      </c>
      <c r="G18" s="27" t="n">
        <v>0</v>
      </c>
      <c r="H18" s="27" t="n">
        <v>1</v>
      </c>
    </row>
    <row r="19" ht="16" customHeight="1">
      <c r="A19" s="7" t="inlineStr">
        <is>
          <t>OH</t>
        </is>
      </c>
      <c r="B19" s="29" t="n">
        <v>1</v>
      </c>
      <c r="C19" s="30" t="n">
        <v>7500000</v>
      </c>
      <c r="D19" s="29" t="n">
        <v>0.06122448979591837</v>
      </c>
      <c r="E19" s="29" t="n">
        <v>1</v>
      </c>
      <c r="F19" s="29" t="n">
        <v>0</v>
      </c>
      <c r="G19" s="29" t="n">
        <v>0</v>
      </c>
      <c r="H19" s="29" t="n">
        <v>0</v>
      </c>
    </row>
    <row r="20" ht="16" customHeight="1">
      <c r="A20" s="5" t="inlineStr">
        <is>
          <t>PA</t>
        </is>
      </c>
      <c r="B20" s="27" t="n">
        <v>1</v>
      </c>
      <c r="C20" s="28" t="n">
        <v>8000000</v>
      </c>
      <c r="D20" s="27" t="n">
        <v>0.0653061224489796</v>
      </c>
      <c r="E20" s="27" t="n">
        <v>1</v>
      </c>
      <c r="F20" s="27" t="n">
        <v>0</v>
      </c>
      <c r="G20" s="27" t="n">
        <v>0</v>
      </c>
      <c r="H20" s="27" t="n">
        <v>0</v>
      </c>
    </row>
    <row r="21" ht="16" customHeight="1">
      <c r="A21" s="7" t="inlineStr">
        <is>
          <t>TN</t>
        </is>
      </c>
      <c r="B21" s="29" t="n">
        <v>1</v>
      </c>
      <c r="C21" s="30" t="n">
        <v>3500000</v>
      </c>
      <c r="D21" s="29" t="n">
        <v>0.02857142857142857</v>
      </c>
      <c r="E21" s="29" t="n">
        <v>1</v>
      </c>
      <c r="F21" s="29" t="n">
        <v>0</v>
      </c>
      <c r="G21" s="29" t="n">
        <v>0</v>
      </c>
      <c r="H21" s="29" t="n">
        <v>0</v>
      </c>
    </row>
    <row r="22" ht="16" customHeight="1">
      <c r="A22" s="5" t="inlineStr">
        <is>
          <t>TX</t>
        </is>
      </c>
      <c r="B22" s="27" t="n">
        <v>1</v>
      </c>
      <c r="C22" s="28" t="n">
        <v>7000000</v>
      </c>
      <c r="D22" s="27" t="n">
        <v>0.05714285714285714</v>
      </c>
      <c r="E22" s="27" t="n">
        <v>1</v>
      </c>
      <c r="F22" s="27" t="n">
        <v>0</v>
      </c>
      <c r="G22" s="27" t="n">
        <v>0</v>
      </c>
      <c r="H22" s="27" t="n">
        <v>1</v>
      </c>
    </row>
    <row r="23" ht="16" customHeight="1">
      <c r="A23" s="7" t="inlineStr">
        <is>
          <t>WI</t>
        </is>
      </c>
      <c r="B23" s="29" t="n">
        <v>1</v>
      </c>
      <c r="C23" s="30" t="n">
        <v>9500000</v>
      </c>
      <c r="D23" s="29" t="n">
        <v>0.07755102040816327</v>
      </c>
      <c r="E23" s="29" t="n">
        <v>1</v>
      </c>
      <c r="F23" s="29" t="n">
        <v>0</v>
      </c>
      <c r="G23" s="29" t="n">
        <v>0</v>
      </c>
      <c r="H23" s="29" t="n">
        <v>0</v>
      </c>
    </row>
    <row r="24" ht="16" customHeight="1">
      <c r="A24" s="31" t="inlineStr">
        <is>
          <t>TOTAL</t>
        </is>
      </c>
      <c r="B24" s="32" t="n">
        <v>20</v>
      </c>
      <c r="C24" s="33" t="n">
        <v>122500000</v>
      </c>
      <c r="D24" s="32" t="n">
        <v>1</v>
      </c>
      <c r="E24" s="32" t="n">
        <v>17</v>
      </c>
      <c r="F24" s="32" t="n">
        <v>2</v>
      </c>
      <c r="G24" s="32" t="n">
        <v>1</v>
      </c>
      <c r="H24" s="32" t="n">
        <v>7</v>
      </c>
    </row>
  </sheetData>
  <autoFilter ref="A3:H24"/>
  <mergeCells count="2">
    <mergeCell ref="A1:H1"/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8" customWidth="1" min="3" max="3"/>
    <col width="21" customWidth="1" min="4" max="4"/>
    <col width="21" customWidth="1" min="5" max="5"/>
    <col width="12" customWidth="1" min="6" max="6"/>
    <col width="25" customWidth="1" min="7" max="7"/>
    <col width="15" customWidth="1" min="8" max="8"/>
    <col width="16" customWidth="1" min="9" max="9"/>
    <col width="13" customWidth="1" min="10" max="10"/>
    <col width="19" customWidth="1" min="11" max="11"/>
    <col width="18" customWidth="1" min="12" max="12"/>
    <col width="19" customWidth="1" min="13" max="13"/>
    <col width="19" customWidth="1" min="14" max="14"/>
    <col width="17" customWidth="1" min="15" max="15"/>
    <col width="14" customWidth="1" min="16" max="16"/>
    <col width="6" customWidth="1" min="17" max="17"/>
    <col width="6" customWidth="1" min="18" max="18"/>
  </cols>
  <sheetData>
    <row r="1" ht="24" customHeight="1">
      <c r="A1" s="25" t="inlineStr">
        <is>
          <t>Appendix D: Impact Projections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Project ID</t>
        </is>
      </c>
      <c r="B3" s="14" t="inlineStr">
        <is>
          <t>Project Name</t>
        </is>
      </c>
      <c r="C3" s="14" t="inlineStr">
        <is>
          <t>State</t>
        </is>
      </c>
      <c r="D3" s="14" t="inlineStr">
        <is>
          <t>Sector</t>
        </is>
      </c>
      <c r="E3" s="14" t="inlineStr">
        <is>
          <t>Project Type</t>
        </is>
      </c>
      <c r="F3" s="14" t="inlineStr">
        <is>
          <t>QEI ($)</t>
        </is>
      </c>
      <c r="G3" s="14" t="inlineStr">
        <is>
          <t>Total Project Cost ($)</t>
        </is>
      </c>
      <c r="H3" s="14" t="inlineStr">
        <is>
          <t>Jobs Created</t>
        </is>
      </c>
      <c r="I3" s="14" t="inlineStr">
        <is>
          <t>Jobs Retained</t>
        </is>
      </c>
      <c r="J3" s="14" t="inlineStr">
        <is>
          <t>Total Jobs</t>
        </is>
      </c>
      <c r="K3" s="14" t="inlineStr">
        <is>
          <t>Cost per Job ($)</t>
        </is>
      </c>
      <c r="L3" s="14" t="inlineStr">
        <is>
          <t>QEI per Job ($)</t>
        </is>
      </c>
      <c r="M3" s="14" t="inlineStr">
        <is>
          <t>Affordable Units</t>
        </is>
      </c>
      <c r="N3" s="14" t="inlineStr">
        <is>
          <t>Commercial Sq Ft</t>
        </is>
      </c>
      <c r="O3" s="14" t="inlineStr">
        <is>
          <t>Distress Level</t>
        </is>
      </c>
      <c r="P3" s="14" t="inlineStr">
        <is>
          <t>Native Area</t>
        </is>
      </c>
      <c r="Q3" s="14" t="inlineStr">
        <is>
          <t>HMR</t>
        </is>
      </c>
      <c r="R3" s="14" t="inlineStr">
        <is>
          <t>OZ</t>
        </is>
      </c>
    </row>
    <row r="4" ht="16" customHeight="1">
      <c r="A4" s="5" t="inlineStr">
        <is>
          <t>PRJ-001</t>
        </is>
      </c>
      <c r="B4" s="5" t="inlineStr">
        <is>
          <t>Southside Community Health Center</t>
        </is>
      </c>
      <c r="C4" s="5" t="inlineStr">
        <is>
          <t>IL</t>
        </is>
      </c>
      <c r="D4" s="5" t="inlineStr">
        <is>
          <t>Healthcare</t>
        </is>
      </c>
      <c r="E4" s="5" t="inlineStr">
        <is>
          <t>Real Estate</t>
        </is>
      </c>
      <c r="F4" s="27" t="n">
        <v>8500000</v>
      </c>
      <c r="G4" s="27" t="n">
        <v>12500000</v>
      </c>
      <c r="H4" s="27" t="n">
        <v>52</v>
      </c>
      <c r="I4" s="27" t="n">
        <v>18</v>
      </c>
      <c r="J4" s="27" t="n">
        <v>70</v>
      </c>
      <c r="K4" s="27" t="n">
        <v>240385</v>
      </c>
      <c r="L4" s="27" t="n">
        <v>163462</v>
      </c>
      <c r="M4" s="27" t="n">
        <v>0</v>
      </c>
      <c r="N4" s="27" t="n">
        <v>24000</v>
      </c>
      <c r="O4" s="5" t="inlineStr">
        <is>
          <t>deep</t>
        </is>
      </c>
      <c r="P4" s="5" t="inlineStr">
        <is>
          <t>No</t>
        </is>
      </c>
      <c r="Q4" s="5" t="inlineStr">
        <is>
          <t>No</t>
        </is>
      </c>
      <c r="R4" s="5" t="inlineStr">
        <is>
          <t>No</t>
        </is>
      </c>
    </row>
    <row r="5" ht="16" customHeight="1">
      <c r="A5" s="7" t="inlineStr">
        <is>
          <t>PRJ-002</t>
        </is>
      </c>
      <c r="B5" s="7" t="inlineStr">
        <is>
          <t>East Houston Charter Academy</t>
        </is>
      </c>
      <c r="C5" s="7" t="inlineStr">
        <is>
          <t>TX</t>
        </is>
      </c>
      <c r="D5" s="7" t="inlineStr">
        <is>
          <t>Education</t>
        </is>
      </c>
      <c r="E5" s="7" t="inlineStr">
        <is>
          <t>Real Estate</t>
        </is>
      </c>
      <c r="F5" s="29" t="n">
        <v>7000000</v>
      </c>
      <c r="G5" s="29" t="n">
        <v>9800000</v>
      </c>
      <c r="H5" s="29" t="n">
        <v>38</v>
      </c>
      <c r="I5" s="29" t="n">
        <v>22</v>
      </c>
      <c r="J5" s="29" t="n">
        <v>60</v>
      </c>
      <c r="K5" s="29" t="n">
        <v>257895</v>
      </c>
      <c r="L5" s="29" t="n">
        <v>184211</v>
      </c>
      <c r="M5" s="29" t="n">
        <v>0</v>
      </c>
      <c r="N5" s="29" t="n">
        <v>0</v>
      </c>
      <c r="O5" s="7" t="inlineStr">
        <is>
          <t>deep</t>
        </is>
      </c>
      <c r="P5" s="7" t="inlineStr">
        <is>
          <t>No</t>
        </is>
      </c>
      <c r="Q5" s="7" t="inlineStr">
        <is>
          <t>No</t>
        </is>
      </c>
      <c r="R5" s="7" t="inlineStr">
        <is>
          <t>Yes</t>
        </is>
      </c>
    </row>
    <row r="6" ht="16" customHeight="1">
      <c r="A6" s="5" t="inlineStr">
        <is>
          <t>PRJ-003</t>
        </is>
      </c>
      <c r="B6" s="5" t="inlineStr">
        <is>
          <t>Bronx Food Hub</t>
        </is>
      </c>
      <c r="C6" s="5" t="inlineStr">
        <is>
          <t>NY</t>
        </is>
      </c>
      <c r="D6" s="5" t="inlineStr">
        <is>
          <t>Small Business</t>
        </is>
      </c>
      <c r="E6" s="5" t="inlineStr">
        <is>
          <t>Real Estate</t>
        </is>
      </c>
      <c r="F6" s="27" t="n">
        <v>5000000</v>
      </c>
      <c r="G6" s="27" t="n">
        <v>7200000</v>
      </c>
      <c r="H6" s="27" t="n">
        <v>65</v>
      </c>
      <c r="I6" s="27" t="n">
        <v>8</v>
      </c>
      <c r="J6" s="27" t="n">
        <v>73</v>
      </c>
      <c r="K6" s="27" t="n">
        <v>110769</v>
      </c>
      <c r="L6" s="27" t="n">
        <v>76923</v>
      </c>
      <c r="M6" s="27" t="n">
        <v>0</v>
      </c>
      <c r="N6" s="27" t="n">
        <v>18000</v>
      </c>
      <c r="O6" s="5" t="inlineStr">
        <is>
          <t>severe</t>
        </is>
      </c>
      <c r="P6" s="5" t="inlineStr">
        <is>
          <t>No</t>
        </is>
      </c>
      <c r="Q6" s="5" t="inlineStr">
        <is>
          <t>No</t>
        </is>
      </c>
      <c r="R6" s="5" t="inlineStr">
        <is>
          <t>Yes</t>
        </is>
      </c>
    </row>
    <row r="7" ht="16" customHeight="1">
      <c r="A7" s="7" t="inlineStr">
        <is>
          <t>PRJ-004</t>
        </is>
      </c>
      <c r="B7" s="7" t="inlineStr">
        <is>
          <t>Watts Manufacturing Center</t>
        </is>
      </c>
      <c r="C7" s="7" t="inlineStr">
        <is>
          <t>CA</t>
        </is>
      </c>
      <c r="D7" s="7" t="inlineStr">
        <is>
          <t>Small Business</t>
        </is>
      </c>
      <c r="E7" s="7" t="inlineStr">
        <is>
          <t>Operating Business</t>
        </is>
      </c>
      <c r="F7" s="29" t="n">
        <v>4500000</v>
      </c>
      <c r="G7" s="29" t="n">
        <v>6000000</v>
      </c>
      <c r="H7" s="29" t="n">
        <v>80</v>
      </c>
      <c r="I7" s="29" t="n">
        <v>25</v>
      </c>
      <c r="J7" s="29" t="n">
        <v>105</v>
      </c>
      <c r="K7" s="29" t="n">
        <v>75000</v>
      </c>
      <c r="L7" s="29" t="n">
        <v>56250</v>
      </c>
      <c r="M7" s="29" t="n">
        <v>0</v>
      </c>
      <c r="N7" s="29" t="n">
        <v>0</v>
      </c>
      <c r="O7" s="7" t="inlineStr">
        <is>
          <t>deep</t>
        </is>
      </c>
      <c r="P7" s="7" t="inlineStr">
        <is>
          <t>No</t>
        </is>
      </c>
      <c r="Q7" s="7" t="inlineStr">
        <is>
          <t>No</t>
        </is>
      </c>
      <c r="R7" s="7" t="inlineStr">
        <is>
          <t>No</t>
        </is>
      </c>
    </row>
    <row r="8" ht="16" customHeight="1">
      <c r="A8" s="5" t="inlineStr">
        <is>
          <t>PRJ-005</t>
        </is>
      </c>
      <c r="B8" s="5" t="inlineStr">
        <is>
          <t>Cleveland Neighborhood Clinic</t>
        </is>
      </c>
      <c r="C8" s="5" t="inlineStr">
        <is>
          <t>OH</t>
        </is>
      </c>
      <c r="D8" s="5" t="inlineStr">
        <is>
          <t>Healthcare</t>
        </is>
      </c>
      <c r="E8" s="5" t="inlineStr">
        <is>
          <t>Real Estate</t>
        </is>
      </c>
      <c r="F8" s="27" t="n">
        <v>7500000</v>
      </c>
      <c r="G8" s="27" t="n">
        <v>10000000</v>
      </c>
      <c r="H8" s="27" t="n">
        <v>42</v>
      </c>
      <c r="I8" s="27" t="n">
        <v>30</v>
      </c>
      <c r="J8" s="27" t="n">
        <v>72</v>
      </c>
      <c r="K8" s="27" t="n">
        <v>238095</v>
      </c>
      <c r="L8" s="27" t="n">
        <v>178571</v>
      </c>
      <c r="M8" s="27" t="n">
        <v>0</v>
      </c>
      <c r="N8" s="27" t="n">
        <v>20000</v>
      </c>
      <c r="O8" s="5" t="inlineStr">
        <is>
          <t>deep</t>
        </is>
      </c>
      <c r="P8" s="5" t="inlineStr">
        <is>
          <t>No</t>
        </is>
      </c>
      <c r="Q8" s="5" t="inlineStr">
        <is>
          <t>No</t>
        </is>
      </c>
      <c r="R8" s="5" t="inlineStr">
        <is>
          <t>No</t>
        </is>
      </c>
    </row>
    <row r="9" ht="16" customHeight="1">
      <c r="A9" s="7" t="inlineStr">
        <is>
          <t>PRJ-006</t>
        </is>
      </c>
      <c r="B9" s="7" t="inlineStr">
        <is>
          <t>Atlanta Affordable Homes Phase II</t>
        </is>
      </c>
      <c r="C9" s="7" t="inlineStr">
        <is>
          <t>GA</t>
        </is>
      </c>
      <c r="D9" s="7" t="inlineStr">
        <is>
          <t>Affordable Housing</t>
        </is>
      </c>
      <c r="E9" s="7" t="inlineStr">
        <is>
          <t>Real Estate</t>
        </is>
      </c>
      <c r="F9" s="29" t="n">
        <v>9000000</v>
      </c>
      <c r="G9" s="29" t="n">
        <v>14000000</v>
      </c>
      <c r="H9" s="29" t="n">
        <v>15</v>
      </c>
      <c r="I9" s="29" t="n">
        <v>5</v>
      </c>
      <c r="J9" s="29" t="n">
        <v>20</v>
      </c>
      <c r="K9" s="29" t="n">
        <v>933333</v>
      </c>
      <c r="L9" s="29" t="n">
        <v>600000</v>
      </c>
      <c r="M9" s="29" t="n">
        <v>72</v>
      </c>
      <c r="N9" s="29" t="n">
        <v>0</v>
      </c>
      <c r="O9" s="7" t="inlineStr">
        <is>
          <t>severe</t>
        </is>
      </c>
      <c r="P9" s="7" t="inlineStr">
        <is>
          <t>No</t>
        </is>
      </c>
      <c r="Q9" s="7" t="inlineStr">
        <is>
          <t>No</t>
        </is>
      </c>
      <c r="R9" s="7" t="inlineStr">
        <is>
          <t>Yes</t>
        </is>
      </c>
    </row>
    <row r="10" ht="16" customHeight="1">
      <c r="A10" s="5" t="inlineStr">
        <is>
          <t>PRJ-007</t>
        </is>
      </c>
      <c r="B10" s="5" t="inlineStr">
        <is>
          <t>Miami Community Resource Center</t>
        </is>
      </c>
      <c r="C10" s="5" t="inlineStr">
        <is>
          <t>FL</t>
        </is>
      </c>
      <c r="D10" s="5" t="inlineStr">
        <is>
          <t>Community Facility</t>
        </is>
      </c>
      <c r="E10" s="5" t="inlineStr">
        <is>
          <t>Real Estate</t>
        </is>
      </c>
      <c r="F10" s="27" t="n">
        <v>4000000</v>
      </c>
      <c r="G10" s="27" t="n">
        <v>5500000</v>
      </c>
      <c r="H10" s="27" t="n">
        <v>28</v>
      </c>
      <c r="I10" s="27" t="n">
        <v>10</v>
      </c>
      <c r="J10" s="27" t="n">
        <v>38</v>
      </c>
      <c r="K10" s="27" t="n">
        <v>196429</v>
      </c>
      <c r="L10" s="27" t="n">
        <v>142857</v>
      </c>
      <c r="M10" s="27" t="n">
        <v>0</v>
      </c>
      <c r="N10" s="27" t="n">
        <v>12000</v>
      </c>
      <c r="O10" s="5" t="inlineStr">
        <is>
          <t>lic</t>
        </is>
      </c>
      <c r="P10" s="5" t="inlineStr">
        <is>
          <t>No</t>
        </is>
      </c>
      <c r="Q10" s="5" t="inlineStr">
        <is>
          <t>No</t>
        </is>
      </c>
      <c r="R10" s="5" t="inlineStr">
        <is>
          <t>No</t>
        </is>
      </c>
    </row>
    <row r="11" ht="16" customHeight="1">
      <c r="A11" s="7" t="inlineStr">
        <is>
          <t>PRJ-008</t>
        </is>
      </c>
      <c r="B11" s="7" t="inlineStr">
        <is>
          <t>North Philadelphia Wellness Hub</t>
        </is>
      </c>
      <c r="C11" s="7" t="inlineStr">
        <is>
          <t>PA</t>
        </is>
      </c>
      <c r="D11" s="7" t="inlineStr">
        <is>
          <t>Healthcare</t>
        </is>
      </c>
      <c r="E11" s="7" t="inlineStr">
        <is>
          <t>Mixed Use</t>
        </is>
      </c>
      <c r="F11" s="29" t="n">
        <v>8000000</v>
      </c>
      <c r="G11" s="29" t="n">
        <v>11000000</v>
      </c>
      <c r="H11" s="29" t="n">
        <v>55</v>
      </c>
      <c r="I11" s="29" t="n">
        <v>20</v>
      </c>
      <c r="J11" s="29" t="n">
        <v>75</v>
      </c>
      <c r="K11" s="29" t="n">
        <v>200000</v>
      </c>
      <c r="L11" s="29" t="n">
        <v>145455</v>
      </c>
      <c r="M11" s="29" t="n">
        <v>0</v>
      </c>
      <c r="N11" s="29" t="n">
        <v>22000</v>
      </c>
      <c r="O11" s="7" t="inlineStr">
        <is>
          <t>deep</t>
        </is>
      </c>
      <c r="P11" s="7" t="inlineStr">
        <is>
          <t>No</t>
        </is>
      </c>
      <c r="Q11" s="7" t="inlineStr">
        <is>
          <t>No</t>
        </is>
      </c>
      <c r="R11" s="7" t="inlineStr">
        <is>
          <t>No</t>
        </is>
      </c>
    </row>
    <row r="12" ht="16" customHeight="1">
      <c r="A12" s="5" t="inlineStr">
        <is>
          <t>PRJ-009</t>
        </is>
      </c>
      <c r="B12" s="5" t="inlineStr">
        <is>
          <t>New Orleans Culinary Arts Center</t>
        </is>
      </c>
      <c r="C12" s="5" t="inlineStr">
        <is>
          <t>LA</t>
        </is>
      </c>
      <c r="D12" s="5" t="inlineStr">
        <is>
          <t>Education</t>
        </is>
      </c>
      <c r="E12" s="5" t="inlineStr">
        <is>
          <t>Real Estate</t>
        </is>
      </c>
      <c r="F12" s="27" t="n">
        <v>6000000</v>
      </c>
      <c r="G12" s="27" t="n">
        <v>8200000</v>
      </c>
      <c r="H12" s="27" t="n">
        <v>35</v>
      </c>
      <c r="I12" s="27" t="n">
        <v>8</v>
      </c>
      <c r="J12" s="27" t="n">
        <v>43</v>
      </c>
      <c r="K12" s="27" t="n">
        <v>234286</v>
      </c>
      <c r="L12" s="27" t="n">
        <v>171429</v>
      </c>
      <c r="M12" s="27" t="n">
        <v>0</v>
      </c>
      <c r="N12" s="27" t="n">
        <v>16000</v>
      </c>
      <c r="O12" s="5" t="inlineStr">
        <is>
          <t>deep</t>
        </is>
      </c>
      <c r="P12" s="5" t="inlineStr">
        <is>
          <t>No</t>
        </is>
      </c>
      <c r="Q12" s="5" t="inlineStr">
        <is>
          <t>No</t>
        </is>
      </c>
      <c r="R12" s="5" t="inlineStr">
        <is>
          <t>Yes</t>
        </is>
      </c>
    </row>
    <row r="13" ht="16" customHeight="1">
      <c r="A13" s="7" t="inlineStr">
        <is>
          <t>PRJ-010</t>
        </is>
      </c>
      <c r="B13" s="7" t="inlineStr">
        <is>
          <t>Memphis Small Business Incubator</t>
        </is>
      </c>
      <c r="C13" s="7" t="inlineStr">
        <is>
          <t>TN</t>
        </is>
      </c>
      <c r="D13" s="7" t="inlineStr">
        <is>
          <t>Small Business</t>
        </is>
      </c>
      <c r="E13" s="7" t="inlineStr">
        <is>
          <t>Operating Business</t>
        </is>
      </c>
      <c r="F13" s="29" t="n">
        <v>3500000</v>
      </c>
      <c r="G13" s="29" t="n">
        <v>4800000</v>
      </c>
      <c r="H13" s="29" t="n">
        <v>90</v>
      </c>
      <c r="I13" s="29" t="n">
        <v>15</v>
      </c>
      <c r="J13" s="29" t="n">
        <v>105</v>
      </c>
      <c r="K13" s="29" t="n">
        <v>53333</v>
      </c>
      <c r="L13" s="29" t="n">
        <v>38889</v>
      </c>
      <c r="M13" s="29" t="n">
        <v>0</v>
      </c>
      <c r="N13" s="29" t="n">
        <v>0</v>
      </c>
      <c r="O13" s="7" t="inlineStr">
        <is>
          <t>deep</t>
        </is>
      </c>
      <c r="P13" s="7" t="inlineStr">
        <is>
          <t>No</t>
        </is>
      </c>
      <c r="Q13" s="7" t="inlineStr">
        <is>
          <t>No</t>
        </is>
      </c>
      <c r="R13" s="7" t="inlineStr">
        <is>
          <t>No</t>
        </is>
      </c>
    </row>
    <row r="14" ht="16" customHeight="1">
      <c r="A14" s="5" t="inlineStr">
        <is>
          <t>PRJ-011</t>
        </is>
      </c>
      <c r="B14" s="5" t="inlineStr">
        <is>
          <t>Milwaukee Affordable Apartments</t>
        </is>
      </c>
      <c r="C14" s="5" t="inlineStr">
        <is>
          <t>WI</t>
        </is>
      </c>
      <c r="D14" s="5" t="inlineStr">
        <is>
          <t>Affordable Housing</t>
        </is>
      </c>
      <c r="E14" s="5" t="inlineStr">
        <is>
          <t>Real Estate</t>
        </is>
      </c>
      <c r="F14" s="27" t="n">
        <v>9500000</v>
      </c>
      <c r="G14" s="27" t="n">
        <v>13500000</v>
      </c>
      <c r="H14" s="27" t="n">
        <v>12</v>
      </c>
      <c r="I14" s="27" t="n">
        <v>4</v>
      </c>
      <c r="J14" s="27" t="n">
        <v>16</v>
      </c>
      <c r="K14" s="27" t="n">
        <v>1125000</v>
      </c>
      <c r="L14" s="27" t="n">
        <v>791667</v>
      </c>
      <c r="M14" s="27" t="n">
        <v>64</v>
      </c>
      <c r="N14" s="27" t="n">
        <v>0</v>
      </c>
      <c r="O14" s="5" t="inlineStr">
        <is>
          <t>severe</t>
        </is>
      </c>
      <c r="P14" s="5" t="inlineStr">
        <is>
          <t>No</t>
        </is>
      </c>
      <c r="Q14" s="5" t="inlineStr">
        <is>
          <t>No</t>
        </is>
      </c>
      <c r="R14" s="5" t="inlineStr">
        <is>
          <t>No</t>
        </is>
      </c>
    </row>
    <row r="15" ht="16" customHeight="1">
      <c r="A15" s="7" t="inlineStr">
        <is>
          <t>PRJ-012</t>
        </is>
      </c>
      <c r="B15" s="7" t="inlineStr">
        <is>
          <t>St. Louis Community Solar Project</t>
        </is>
      </c>
      <c r="C15" s="7" t="inlineStr">
        <is>
          <t>MO</t>
        </is>
      </c>
      <c r="D15" s="7" t="inlineStr">
        <is>
          <t>Clean Energy</t>
        </is>
      </c>
      <c r="E15" s="7" t="inlineStr">
        <is>
          <t>Operating Business</t>
        </is>
      </c>
      <c r="F15" s="29" t="n">
        <v>3800000</v>
      </c>
      <c r="G15" s="29" t="n">
        <v>5000000</v>
      </c>
      <c r="H15" s="29" t="n">
        <v>22</v>
      </c>
      <c r="I15" s="29" t="n">
        <v>6</v>
      </c>
      <c r="J15" s="29" t="n">
        <v>28</v>
      </c>
      <c r="K15" s="29" t="n">
        <v>227273</v>
      </c>
      <c r="L15" s="29" t="n">
        <v>172727</v>
      </c>
      <c r="M15" s="29" t="n">
        <v>0</v>
      </c>
      <c r="N15" s="29" t="n">
        <v>0</v>
      </c>
      <c r="O15" s="7" t="inlineStr">
        <is>
          <t>lic</t>
        </is>
      </c>
      <c r="P15" s="7" t="inlineStr">
        <is>
          <t>No</t>
        </is>
      </c>
      <c r="Q15" s="7" t="inlineStr">
        <is>
          <t>No</t>
        </is>
      </c>
      <c r="R15" s="7" t="inlineStr">
        <is>
          <t>Yes</t>
        </is>
      </c>
    </row>
    <row r="16" ht="16" customHeight="1">
      <c r="A16" s="5" t="inlineStr">
        <is>
          <t>PRJ-013</t>
        </is>
      </c>
      <c r="B16" s="5" t="inlineStr">
        <is>
          <t>Charlotte Workforce Training Center</t>
        </is>
      </c>
      <c r="C16" s="5" t="inlineStr">
        <is>
          <t>NC</t>
        </is>
      </c>
      <c r="D16" s="5" t="inlineStr">
        <is>
          <t>Education</t>
        </is>
      </c>
      <c r="E16" s="5" t="inlineStr">
        <is>
          <t>Real Estate</t>
        </is>
      </c>
      <c r="F16" s="27" t="n">
        <v>5500000</v>
      </c>
      <c r="G16" s="27" t="n">
        <v>7500000</v>
      </c>
      <c r="H16" s="27" t="n">
        <v>30</v>
      </c>
      <c r="I16" s="27" t="n">
        <v>12</v>
      </c>
      <c r="J16" s="27" t="n">
        <v>42</v>
      </c>
      <c r="K16" s="27" t="n">
        <v>250000</v>
      </c>
      <c r="L16" s="27" t="n">
        <v>183333</v>
      </c>
      <c r="M16" s="27" t="n">
        <v>0</v>
      </c>
      <c r="N16" s="27" t="n">
        <v>14000</v>
      </c>
      <c r="O16" s="5" t="inlineStr">
        <is>
          <t>deep</t>
        </is>
      </c>
      <c r="P16" s="5" t="inlineStr">
        <is>
          <t>No</t>
        </is>
      </c>
      <c r="Q16" s="5" t="inlineStr">
        <is>
          <t>No</t>
        </is>
      </c>
      <c r="R16" s="5" t="inlineStr">
        <is>
          <t>No</t>
        </is>
      </c>
    </row>
    <row r="17" ht="16" customHeight="1">
      <c r="A17" s="7" t="inlineStr">
        <is>
          <t>PRJ-014</t>
        </is>
      </c>
      <c r="B17" s="7" t="inlineStr">
        <is>
          <t>Phoenix Native American Health Clinic</t>
        </is>
      </c>
      <c r="C17" s="7" t="inlineStr">
        <is>
          <t>AZ</t>
        </is>
      </c>
      <c r="D17" s="7" t="inlineStr">
        <is>
          <t>Healthcare</t>
        </is>
      </c>
      <c r="E17" s="7" t="inlineStr">
        <is>
          <t>Real Estate</t>
        </is>
      </c>
      <c r="F17" s="29" t="n">
        <v>6500000</v>
      </c>
      <c r="G17" s="29" t="n">
        <v>9000000</v>
      </c>
      <c r="H17" s="29" t="n">
        <v>48</v>
      </c>
      <c r="I17" s="29" t="n">
        <v>25</v>
      </c>
      <c r="J17" s="29" t="n">
        <v>73</v>
      </c>
      <c r="K17" s="29" t="n">
        <v>187500</v>
      </c>
      <c r="L17" s="29" t="n">
        <v>135417</v>
      </c>
      <c r="M17" s="29" t="n">
        <v>0</v>
      </c>
      <c r="N17" s="29" t="n">
        <v>18500</v>
      </c>
      <c r="O17" s="7" t="inlineStr">
        <is>
          <t>deep</t>
        </is>
      </c>
      <c r="P17" s="7" t="inlineStr">
        <is>
          <t>Yes</t>
        </is>
      </c>
      <c r="Q17" s="7" t="inlineStr">
        <is>
          <t>No</t>
        </is>
      </c>
      <c r="R17" s="7" t="inlineStr">
        <is>
          <t>No</t>
        </is>
      </c>
    </row>
    <row r="18" ht="16" customHeight="1">
      <c r="A18" s="5" t="inlineStr">
        <is>
          <t>PRJ-015</t>
        </is>
      </c>
      <c r="B18" s="5" t="inlineStr">
        <is>
          <t>Detroit Auto Parts Manufacturer</t>
        </is>
      </c>
      <c r="C18" s="5" t="inlineStr">
        <is>
          <t>MI</t>
        </is>
      </c>
      <c r="D18" s="5" t="inlineStr">
        <is>
          <t>Small Business</t>
        </is>
      </c>
      <c r="E18" s="5" t="inlineStr">
        <is>
          <t>Operating Business</t>
        </is>
      </c>
      <c r="F18" s="27" t="n">
        <v>5000000</v>
      </c>
      <c r="G18" s="27" t="n">
        <v>6500000</v>
      </c>
      <c r="H18" s="27" t="n">
        <v>110</v>
      </c>
      <c r="I18" s="27" t="n">
        <v>45</v>
      </c>
      <c r="J18" s="27" t="n">
        <v>155</v>
      </c>
      <c r="K18" s="27" t="n">
        <v>59091</v>
      </c>
      <c r="L18" s="27" t="n">
        <v>45455</v>
      </c>
      <c r="M18" s="27" t="n">
        <v>0</v>
      </c>
      <c r="N18" s="27" t="n">
        <v>0</v>
      </c>
      <c r="O18" s="5" t="inlineStr">
        <is>
          <t>deep</t>
        </is>
      </c>
      <c r="P18" s="5" t="inlineStr">
        <is>
          <t>No</t>
        </is>
      </c>
      <c r="Q18" s="5" t="inlineStr">
        <is>
          <t>No</t>
        </is>
      </c>
      <c r="R18" s="5" t="inlineStr">
        <is>
          <t>Yes</t>
        </is>
      </c>
    </row>
    <row r="19" ht="16" customHeight="1">
      <c r="A19" s="7" t="inlineStr">
        <is>
          <t>PRJ-016</t>
        </is>
      </c>
      <c r="B19" s="7" t="inlineStr">
        <is>
          <t>Indianapolis Mixed-Use Community Hub</t>
        </is>
      </c>
      <c r="C19" s="7" t="inlineStr">
        <is>
          <t>IN</t>
        </is>
      </c>
      <c r="D19" s="7" t="inlineStr">
        <is>
          <t>Mixed Use</t>
        </is>
      </c>
      <c r="E19" s="7" t="inlineStr">
        <is>
          <t>Mixed Use</t>
        </is>
      </c>
      <c r="F19" s="29" t="n">
        <v>7500000</v>
      </c>
      <c r="G19" s="29" t="n">
        <v>10500000</v>
      </c>
      <c r="H19" s="29" t="n">
        <v>35</v>
      </c>
      <c r="I19" s="29" t="n">
        <v>10</v>
      </c>
      <c r="J19" s="29" t="n">
        <v>45</v>
      </c>
      <c r="K19" s="29" t="n">
        <v>300000</v>
      </c>
      <c r="L19" s="29" t="n">
        <v>214286</v>
      </c>
      <c r="M19" s="29" t="n">
        <v>24</v>
      </c>
      <c r="N19" s="29" t="n">
        <v>20000</v>
      </c>
      <c r="O19" s="7" t="inlineStr">
        <is>
          <t>severe</t>
        </is>
      </c>
      <c r="P19" s="7" t="inlineStr">
        <is>
          <t>No</t>
        </is>
      </c>
      <c r="Q19" s="7" t="inlineStr">
        <is>
          <t>No</t>
        </is>
      </c>
      <c r="R19" s="7" t="inlineStr">
        <is>
          <t>No</t>
        </is>
      </c>
    </row>
    <row r="20" ht="16" customHeight="1">
      <c r="A20" s="5" t="inlineStr">
        <is>
          <t>PRJ-017</t>
        </is>
      </c>
      <c r="B20" s="5" t="inlineStr">
        <is>
          <t>Rural Mississippi Health Access Center</t>
        </is>
      </c>
      <c r="C20" s="5" t="inlineStr">
        <is>
          <t>MS</t>
        </is>
      </c>
      <c r="D20" s="5" t="inlineStr">
        <is>
          <t>Healthcare</t>
        </is>
      </c>
      <c r="E20" s="5" t="inlineStr">
        <is>
          <t>Real Estate</t>
        </is>
      </c>
      <c r="F20" s="27" t="n">
        <v>3200000</v>
      </c>
      <c r="G20" s="27" t="n">
        <v>4200000</v>
      </c>
      <c r="H20" s="27" t="n">
        <v>20</v>
      </c>
      <c r="I20" s="27" t="n">
        <v>15</v>
      </c>
      <c r="J20" s="27" t="n">
        <v>35</v>
      </c>
      <c r="K20" s="27" t="n">
        <v>210000</v>
      </c>
      <c r="L20" s="27" t="n">
        <v>160000</v>
      </c>
      <c r="M20" s="27" t="n">
        <v>0</v>
      </c>
      <c r="N20" s="27" t="n">
        <v>8000</v>
      </c>
      <c r="O20" s="5" t="inlineStr">
        <is>
          <t>deep</t>
        </is>
      </c>
      <c r="P20" s="5" t="inlineStr">
        <is>
          <t>No</t>
        </is>
      </c>
      <c r="Q20" s="5" t="inlineStr">
        <is>
          <t>Yes</t>
        </is>
      </c>
      <c r="R20" s="5" t="inlineStr">
        <is>
          <t>No</t>
        </is>
      </c>
    </row>
    <row r="21" ht="16" customHeight="1">
      <c r="A21" s="7" t="inlineStr">
        <is>
          <t>PRJ-018</t>
        </is>
      </c>
      <c r="B21" s="7" t="inlineStr">
        <is>
          <t>Kansas City Affordable Senior Housing</t>
        </is>
      </c>
      <c r="C21" s="7" t="inlineStr">
        <is>
          <t>KS</t>
        </is>
      </c>
      <c r="D21" s="7" t="inlineStr">
        <is>
          <t>Affordable Housing</t>
        </is>
      </c>
      <c r="E21" s="7" t="inlineStr">
        <is>
          <t>Real Estate</t>
        </is>
      </c>
      <c r="F21" s="29" t="n">
        <v>8500000</v>
      </c>
      <c r="G21" s="29" t="n">
        <v>11800000</v>
      </c>
      <c r="H21" s="29" t="n">
        <v>10</v>
      </c>
      <c r="I21" s="29" t="n">
        <v>3</v>
      </c>
      <c r="J21" s="29" t="n">
        <v>13</v>
      </c>
      <c r="K21" s="29" t="n">
        <v>1180000</v>
      </c>
      <c r="L21" s="29" t="n">
        <v>850000</v>
      </c>
      <c r="M21" s="29" t="n">
        <v>56</v>
      </c>
      <c r="N21" s="29" t="n">
        <v>0</v>
      </c>
      <c r="O21" s="7" t="inlineStr">
        <is>
          <t>lic</t>
        </is>
      </c>
      <c r="P21" s="7" t="inlineStr">
        <is>
          <t>No</t>
        </is>
      </c>
      <c r="Q21" s="7" t="inlineStr">
        <is>
          <t>No</t>
        </is>
      </c>
      <c r="R21" s="7" t="inlineStr">
        <is>
          <t>No</t>
        </is>
      </c>
    </row>
    <row r="22" ht="16" customHeight="1">
      <c r="A22" s="5" t="inlineStr">
        <is>
          <t>PRJ-019</t>
        </is>
      </c>
      <c r="B22" s="5" t="inlineStr">
        <is>
          <t>Baltimore Community Food Market</t>
        </is>
      </c>
      <c r="C22" s="5" t="inlineStr">
        <is>
          <t>MD</t>
        </is>
      </c>
      <c r="D22" s="5" t="inlineStr">
        <is>
          <t>Community Facility</t>
        </is>
      </c>
      <c r="E22" s="5" t="inlineStr">
        <is>
          <t>Real Estate</t>
        </is>
      </c>
      <c r="F22" s="27" t="n">
        <v>4200000</v>
      </c>
      <c r="G22" s="27" t="n">
        <v>5800000</v>
      </c>
      <c r="H22" s="27" t="n">
        <v>45</v>
      </c>
      <c r="I22" s="27" t="n">
        <v>8</v>
      </c>
      <c r="J22" s="27" t="n">
        <v>53</v>
      </c>
      <c r="K22" s="27" t="n">
        <v>128889</v>
      </c>
      <c r="L22" s="27" t="n">
        <v>93333</v>
      </c>
      <c r="M22" s="27" t="n">
        <v>0</v>
      </c>
      <c r="N22" s="27" t="n">
        <v>11000</v>
      </c>
      <c r="O22" s="5" t="inlineStr">
        <is>
          <t>severe</t>
        </is>
      </c>
      <c r="P22" s="5" t="inlineStr">
        <is>
          <t>No</t>
        </is>
      </c>
      <c r="Q22" s="5" t="inlineStr">
        <is>
          <t>No</t>
        </is>
      </c>
      <c r="R22" s="5" t="inlineStr">
        <is>
          <t>No</t>
        </is>
      </c>
    </row>
    <row r="23" ht="16" customHeight="1">
      <c r="A23" s="7" t="inlineStr">
        <is>
          <t>PRJ-020</t>
        </is>
      </c>
      <c r="B23" s="7" t="inlineStr">
        <is>
          <t>Albuquerque Mixed-Use Arts District</t>
        </is>
      </c>
      <c r="C23" s="7" t="inlineStr">
        <is>
          <t>NM</t>
        </is>
      </c>
      <c r="D23" s="7" t="inlineStr">
        <is>
          <t>Mixed Use</t>
        </is>
      </c>
      <c r="E23" s="7" t="inlineStr">
        <is>
          <t>Mixed Use</t>
        </is>
      </c>
      <c r="F23" s="29" t="n">
        <v>5800000</v>
      </c>
      <c r="G23" s="29" t="n">
        <v>7800000</v>
      </c>
      <c r="H23" s="29" t="n">
        <v>32</v>
      </c>
      <c r="I23" s="29" t="n">
        <v>9</v>
      </c>
      <c r="J23" s="29" t="n">
        <v>41</v>
      </c>
      <c r="K23" s="29" t="n">
        <v>243750</v>
      </c>
      <c r="L23" s="29" t="n">
        <v>181250</v>
      </c>
      <c r="M23" s="29" t="n">
        <v>18</v>
      </c>
      <c r="N23" s="29" t="n">
        <v>15000</v>
      </c>
      <c r="O23" s="7" t="inlineStr">
        <is>
          <t>deep</t>
        </is>
      </c>
      <c r="P23" s="7" t="inlineStr">
        <is>
          <t>Yes</t>
        </is>
      </c>
      <c r="Q23" s="7" t="inlineStr">
        <is>
          <t>No</t>
        </is>
      </c>
      <c r="R23" s="7" t="inlineStr">
        <is>
          <t>Yes</t>
        </is>
      </c>
    </row>
    <row r="24" ht="16" customHeight="1">
      <c r="A24" s="31" t="inlineStr">
        <is>
          <t>TOTALS</t>
        </is>
      </c>
      <c r="B24" s="31" t="inlineStr">
        <is>
          <t>20 Projects</t>
        </is>
      </c>
      <c r="C24" s="31" t="inlineStr"/>
      <c r="D24" s="31" t="inlineStr"/>
      <c r="E24" s="31" t="inlineStr"/>
      <c r="F24" s="32" t="n">
        <v>122500000</v>
      </c>
      <c r="G24" s="32" t="n">
        <v>170600000</v>
      </c>
      <c r="H24" s="32" t="n">
        <v>864</v>
      </c>
      <c r="I24" s="32" t="n">
        <v>298</v>
      </c>
      <c r="J24" s="32" t="n">
        <v>1162</v>
      </c>
      <c r="K24" s="32" t="n">
        <v>197454</v>
      </c>
      <c r="L24" s="32" t="n">
        <v>141782</v>
      </c>
      <c r="M24" s="32" t="n">
        <v>234</v>
      </c>
      <c r="N24" s="32" t="n">
        <v>198500</v>
      </c>
      <c r="O24" s="31" t="inlineStr"/>
      <c r="P24" s="31" t="inlineStr"/>
      <c r="Q24" s="31" t="inlineStr"/>
      <c r="R24" s="31" t="inlineStr"/>
    </row>
  </sheetData>
  <autoFilter ref="A3:R24"/>
  <mergeCells count="2">
    <mergeCell ref="A1:R1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24" customWidth="1" min="4" max="4"/>
    <col width="20" customWidth="1" min="5" max="5"/>
    <col width="26" customWidth="1" min="6" max="6"/>
    <col width="40" customWidth="1" min="7" max="7"/>
    <col width="22" customWidth="1" min="8" max="8"/>
  </cols>
  <sheetData>
    <row r="1" ht="24" customHeight="1">
      <c r="A1" s="25" t="inlineStr">
        <is>
          <t>Section D: Investor Commitments (Scaffold)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Investor Name</t>
        </is>
      </c>
      <c r="B3" s="14" t="inlineStr">
        <is>
          <t>Investor Type</t>
        </is>
      </c>
      <c r="C3" s="14" t="inlineStr">
        <is>
          <t>CRA Obligation</t>
        </is>
      </c>
      <c r="D3" s="14" t="inlineStr">
        <is>
          <t>Commitment Amount ($)</t>
        </is>
      </c>
      <c r="E3" s="14" t="inlineStr">
        <is>
          <t>Commitment Status</t>
        </is>
      </c>
      <c r="F3" s="14" t="inlineStr">
        <is>
          <t>Credit Price ($/credit)</t>
        </is>
      </c>
      <c r="G3" s="14" t="inlineStr">
        <is>
          <t>Notes</t>
        </is>
      </c>
      <c r="H3" s="14" t="inlineStr">
        <is>
          <t>NMTCs Allocated ($)</t>
        </is>
      </c>
    </row>
    <row r="4" ht="16" customHeight="1">
      <c r="A4" s="5" t="inlineStr">
        <is>
          <t>[Lead Bank Investor — TBD]</t>
        </is>
      </c>
      <c r="B4" s="5" t="inlineStr">
        <is>
          <t>Commercial Bank (CRA)</t>
        </is>
      </c>
      <c r="C4" s="5" t="inlineStr">
        <is>
          <t>Yes</t>
        </is>
      </c>
      <c r="D4" s="28" t="n">
        <v>27757275</v>
      </c>
      <c r="E4" s="5" t="inlineStr">
        <is>
          <t>Prospective</t>
        </is>
      </c>
      <c r="F4" s="27" t="n">
        <v>0.83</v>
      </c>
      <c r="G4" s="5" t="inlineStr">
        <is>
          <t>Primary CRA-motivated investor; term sheet pending</t>
        </is>
      </c>
      <c r="H4" s="28" t="n">
        <v>33442500</v>
      </c>
    </row>
    <row r="5" ht="16" customHeight="1">
      <c r="A5" s="7" t="inlineStr">
        <is>
          <t>[Insurance Company Investor — TBD]</t>
        </is>
      </c>
      <c r="B5" s="7" t="inlineStr">
        <is>
          <t>Insurance Company</t>
        </is>
      </c>
      <c r="C5" s="7" t="inlineStr">
        <is>
          <t>No</t>
        </is>
      </c>
      <c r="D5" s="30" t="n">
        <v>11895975</v>
      </c>
      <c r="E5" s="7" t="inlineStr">
        <is>
          <t>Prospective</t>
        </is>
      </c>
      <c r="F5" s="29" t="n">
        <v>0.82</v>
      </c>
      <c r="G5" s="7" t="inlineStr">
        <is>
          <t>Non-CRA motivated; relationship investor</t>
        </is>
      </c>
      <c r="H5" s="30" t="n">
        <v>14332500</v>
      </c>
    </row>
    <row r="6" ht="16" customHeight="1">
      <c r="A6" s="31" t="inlineStr">
        <is>
          <t>TOTALS</t>
        </is>
      </c>
      <c r="B6" s="31" t="inlineStr"/>
      <c r="C6" s="31" t="inlineStr"/>
      <c r="D6" s="33" t="n">
        <v>39653250</v>
      </c>
      <c r="E6" s="31" t="inlineStr"/>
      <c r="F6" s="31" t="inlineStr"/>
      <c r="G6" s="31" t="inlineStr">
        <is>
          <t>Based on $122,500,000 total QEI at $0.83/credit</t>
        </is>
      </c>
      <c r="H6" s="33" t="n">
        <v>47775000</v>
      </c>
    </row>
  </sheetData>
  <autoFilter ref="A3:H6"/>
  <mergeCells count="2">
    <mergeCell ref="A1:H1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26" customWidth="1" min="3" max="3"/>
    <col width="18" customWidth="1" min="4" max="4"/>
    <col width="33" customWidth="1" min="5" max="5"/>
    <col width="38" customWidth="1" min="6" max="6"/>
  </cols>
  <sheetData>
    <row r="1" ht="24" customHeight="1">
      <c r="A1" s="25" t="inlineStr">
        <is>
          <t>Appendix E: CDE Track Record</t>
        </is>
      </c>
    </row>
    <row r="2" ht="14" customHeight="1">
      <c r="A2" s="26" t="inlineStr">
        <is>
          <t>Heartland Impact CDE, LLC  |  CY2025  |  Generated 2026-05-09</t>
        </is>
      </c>
    </row>
    <row r="3" ht="20" customHeight="1">
      <c r="A3" s="14" t="inlineStr">
        <is>
          <t>Award Year</t>
        </is>
      </c>
      <c r="B3" s="14" t="inlineStr">
        <is>
          <t>Allocation ($)</t>
        </is>
      </c>
      <c r="C3" s="14" t="inlineStr">
        <is>
          <t>Deployment Status</t>
        </is>
      </c>
      <c r="D3" s="14" t="inlineStr">
        <is>
          <t>States Deployed</t>
        </is>
      </c>
      <c r="E3" s="14" t="inlineStr">
        <is>
          <t>Sectors</t>
        </is>
      </c>
      <c r="F3" s="14" t="inlineStr">
        <is>
          <t>Notes</t>
        </is>
      </c>
    </row>
    <row r="4" ht="16" customHeight="1">
      <c r="A4" s="27" t="n">
        <v>2019</v>
      </c>
      <c r="B4" s="27" t="n">
        <v>40000000</v>
      </c>
      <c r="C4" s="5" t="inlineStr">
        <is>
          <t>Fully Deployed</t>
        </is>
      </c>
      <c r="D4" s="5" t="inlineStr">
        <is>
          <t>IL, OH, TN</t>
        </is>
      </c>
      <c r="E4" s="5" t="inlineStr">
        <is>
          <t>healthcare, small_business</t>
        </is>
      </c>
      <c r="F4" s="5" t="inlineStr"/>
    </row>
    <row r="5" ht="16" customHeight="1">
      <c r="A5" s="29" t="n">
        <v>2021</v>
      </c>
      <c r="B5" s="29" t="n">
        <v>55000000</v>
      </c>
      <c r="C5" s="7" t="inlineStr">
        <is>
          <t>Fully Deployed</t>
        </is>
      </c>
      <c r="D5" s="7" t="inlineStr">
        <is>
          <t>IL, GA, LA</t>
        </is>
      </c>
      <c r="E5" s="7" t="inlineStr">
        <is>
          <t>education, affordable_housing</t>
        </is>
      </c>
      <c r="F5" s="7" t="inlineStr"/>
    </row>
    <row r="6" ht="16" customHeight="1">
      <c r="A6" s="27" t="n">
        <v>2023</v>
      </c>
      <c r="B6" s="27" t="n">
        <v>60000000</v>
      </c>
      <c r="C6" s="5" t="inlineStr">
        <is>
          <t>Partially Deployed</t>
        </is>
      </c>
      <c r="D6" s="5" t="inlineStr">
        <is>
          <t>OH, MI, MO, TN</t>
        </is>
      </c>
      <c r="E6" s="5" t="inlineStr">
        <is>
          <t>healthcare, community_facility</t>
        </is>
      </c>
      <c r="F6" s="5" t="inlineStr"/>
    </row>
    <row r="7" ht="16" customHeight="1">
      <c r="A7" s="31" t="inlineStr">
        <is>
          <t>TOTALS</t>
        </is>
      </c>
      <c r="B7" s="32" t="n">
        <v>155000000</v>
      </c>
      <c r="C7" s="31" t="inlineStr">
        <is>
          <t>2 rounds fully deployed</t>
        </is>
      </c>
      <c r="D7" s="31" t="inlineStr">
        <is>
          <t>7 states</t>
        </is>
      </c>
      <c r="E7" s="31" t="inlineStr"/>
      <c r="F7" s="31" t="inlineStr">
        <is>
          <t>$155,000,000 total prior allocation</t>
        </is>
      </c>
    </row>
  </sheetData>
  <autoFilter ref="A3:F7"/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2026-05-09T19:35:25Z</dcterms:created>
  <dcterms:modified xmlns:dcterms="http://purl.org/dc/terms/" xmlns:xsi="http://www.w3.org/2001/XMLSchema-instance" xsi:type="dcterms:W3CDTF">2026-05-09T19:35:25Z</dcterms:modified>
</cp:coreProperties>
</file>